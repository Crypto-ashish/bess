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9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11" customWidth="1" min="3" max="3"/>
    <col width="11" customWidth="1" min="4" max="4"/>
    <col width="11" customWidth="1" min="5" max="5"/>
    <col width="90" customWidth="1" min="6" max="6"/>
  </cols>
  <sheetData>
    <row r="1">
      <c r="A1" s="1" t="inlineStr">
        <is>
          <t>Illustrative LFP prismatic cell cost model, India greenfield [E] — yellow cells are inputs; edit them</t>
        </is>
      </c>
    </row>
    <row r="3">
      <c r="A3" s="2" t="inlineStr">
        <is>
          <t>Input</t>
        </is>
      </c>
      <c r="B3" s="2" t="inlineStr">
        <is>
          <t>Unit</t>
        </is>
      </c>
      <c r="C3" s="2" t="inlineStr">
        <is>
          <t>1 GWh</t>
        </is>
      </c>
      <c r="D3" s="2" t="inlineStr">
        <is>
          <t>5 GWh</t>
        </is>
      </c>
      <c r="E3" s="2" t="inlineStr">
        <is>
          <t>10 GWh</t>
        </is>
      </c>
      <c r="F3" s="2" t="inlineStr">
        <is>
          <t>Basis</t>
        </is>
      </c>
    </row>
    <row r="4">
      <c r="A4" t="inlineStr">
        <is>
          <t>Nameplate capacity</t>
        </is>
      </c>
      <c r="B4" t="inlineStr">
        <is>
          <t>GWh/yr</t>
        </is>
      </c>
      <c r="C4" s="3" t="n">
        <v>1</v>
      </c>
      <c r="D4" s="3" t="n">
        <v>5</v>
      </c>
      <c r="E4" s="3" t="n">
        <v>10</v>
      </c>
      <c r="F4" t="inlineStr">
        <is>
          <t>Plant size</t>
        </is>
      </c>
    </row>
    <row r="5">
      <c r="A5" t="inlineStr">
        <is>
          <t>Capex per GWh</t>
        </is>
      </c>
      <c r="B5" t="inlineStr">
        <is>
          <t>USD M/GWh</t>
        </is>
      </c>
      <c r="C5" s="3" t="n">
        <v>90</v>
      </c>
      <c r="D5" s="3" t="n">
        <v>75</v>
      </c>
      <c r="E5" s="3" t="n">
        <v>65</v>
      </c>
      <c r="F5" t="inlineStr">
        <is>
          <t>[E] anchored to ~USD 80/kWh global average (Thunder Said) and Exide ~INR 800 cr/GWh order</t>
        </is>
      </c>
    </row>
    <row r="6">
      <c r="A6" t="inlineStr">
        <is>
          <t>Capacity utilisation</t>
        </is>
      </c>
      <c r="B6" t="inlineStr">
        <is>
          <t>%</t>
        </is>
      </c>
      <c r="C6" s="4" t="n">
        <v>0.8</v>
      </c>
      <c r="D6" s="4" t="n">
        <v>0.8</v>
      </c>
      <c r="E6" s="4" t="n">
        <v>0.8</v>
      </c>
      <c r="F6" t="inlineStr">
        <is>
          <t>[E] steady state</t>
        </is>
      </c>
    </row>
    <row r="7">
      <c r="A7" t="inlineStr">
        <is>
          <t>Capital charge (depreciation 10 yr + 10% return)</t>
        </is>
      </c>
      <c r="B7" t="inlineStr">
        <is>
          <t>% of capex/yr</t>
        </is>
      </c>
      <c r="C7" s="4" t="n">
        <v>0.2</v>
      </c>
      <c r="D7" s="4" t="n">
        <v>0.2</v>
      </c>
      <c r="E7" s="4" t="n">
        <v>0.2</v>
      </c>
      <c r="F7" t="inlineStr">
        <is>
          <t>[E] mirrors Thunder Said: amortisation ~USD 8/kWh + return USD 8–12/kWh</t>
        </is>
      </c>
    </row>
    <row r="8">
      <c r="A8" t="inlineStr">
        <is>
          <t>Base material cost at 100% yield</t>
        </is>
      </c>
      <c r="B8" t="inlineStr">
        <is>
          <t>USD/kWh</t>
        </is>
      </c>
      <c r="C8" s="3" t="n">
        <v>42</v>
      </c>
      <c r="D8" s="3" t="n">
        <v>42</v>
      </c>
      <c r="E8" s="3" t="n">
        <v>42</v>
      </c>
      <c r="F8" t="inlineStr">
        <is>
          <t>[E] BNEF LFP pack USD 81/kWh x ~75% cell share x ~70% material share</t>
        </is>
      </c>
    </row>
    <row r="9">
      <c r="A9" t="inlineStr">
        <is>
          <t>Overall yield</t>
        </is>
      </c>
      <c r="B9" t="inlineStr">
        <is>
          <t>%</t>
        </is>
      </c>
      <c r="C9" s="4" t="n">
        <v>0.88</v>
      </c>
      <c r="D9" s="4" t="n">
        <v>0.92</v>
      </c>
      <c r="E9" s="4" t="n">
        <v>0.9399999999999999</v>
      </c>
      <c r="F9" t="inlineStr">
        <is>
          <t>[E] steady state after ramp</t>
        </is>
      </c>
    </row>
    <row r="10">
      <c r="A10" t="inlineStr">
        <is>
          <t>Headcount</t>
        </is>
      </c>
      <c r="B10" t="inlineStr">
        <is>
          <t>FTE per GWh</t>
        </is>
      </c>
      <c r="C10" s="3" t="n">
        <v>150</v>
      </c>
      <c r="D10" s="3" t="n">
        <v>90</v>
      </c>
      <c r="E10" s="3" t="n">
        <v>70</v>
      </c>
      <c r="F10" t="inlineStr">
        <is>
          <t>[E]; Thunder Said average ~70 FTE/GWh</t>
        </is>
      </c>
    </row>
    <row r="11">
      <c r="A11" t="inlineStr">
        <is>
          <t>Fully loaded cost per FTE</t>
        </is>
      </c>
      <c r="B11" t="inlineStr">
        <is>
          <t>USD/yr</t>
        </is>
      </c>
      <c r="C11" s="3" t="n">
        <v>10000</v>
      </c>
      <c r="D11" s="3" t="n">
        <v>10000</v>
      </c>
      <c r="E11" s="3" t="n">
        <v>10000</v>
      </c>
      <c r="F11" t="inlineStr">
        <is>
          <t>[E] India blended operators + engineers</t>
        </is>
      </c>
    </row>
    <row r="12">
      <c r="A12" t="inlineStr">
        <is>
          <t>Process energy</t>
        </is>
      </c>
      <c r="B12" t="inlineStr">
        <is>
          <t>kWh per kWh of cells</t>
        </is>
      </c>
      <c r="C12" s="3" t="n">
        <v>50</v>
      </c>
      <c r="D12" s="3" t="n">
        <v>40</v>
      </c>
      <c r="E12" s="3" t="n">
        <v>35</v>
      </c>
      <c r="F12" t="inlineStr">
        <is>
          <t>[E] SINTEF model 47 ± 13 Wh/Wh</t>
        </is>
      </c>
    </row>
    <row r="13">
      <c r="A13" t="inlineStr">
        <is>
          <t>Electricity tariff</t>
        </is>
      </c>
      <c r="B13" t="inlineStr">
        <is>
          <t>USD/kWh</t>
        </is>
      </c>
      <c r="C13" s="3" t="n">
        <v>0.09</v>
      </c>
      <c r="D13" s="3" t="n">
        <v>0.09</v>
      </c>
      <c r="E13" s="3" t="n">
        <v>0.09</v>
      </c>
      <c r="F13" t="inlineStr">
        <is>
          <t>[E] India industrial ~INR 7.5/kWh</t>
        </is>
      </c>
    </row>
    <row r="14">
      <c r="A14" t="inlineStr">
        <is>
          <t>Maintenance</t>
        </is>
      </c>
      <c r="B14" t="inlineStr">
        <is>
          <t>% of capex/yr</t>
        </is>
      </c>
      <c r="C14" s="4" t="n">
        <v>0.03</v>
      </c>
      <c r="D14" s="4" t="n">
        <v>0.03</v>
      </c>
      <c r="E14" s="4" t="n">
        <v>0.03</v>
      </c>
      <c r="F14" t="inlineStr">
        <is>
          <t>[E]</t>
        </is>
      </c>
    </row>
    <row r="15">
      <c r="A15" t="inlineStr">
        <is>
          <t>Other overhead (consumables, NMP make-up, logistics, SG&amp;A)</t>
        </is>
      </c>
      <c r="B15" t="inlineStr">
        <is>
          <t>USD/kWh</t>
        </is>
      </c>
      <c r="C15" s="3" t="n">
        <v>3</v>
      </c>
      <c r="D15" s="3" t="n">
        <v>2.5</v>
      </c>
      <c r="E15" s="3" t="n">
        <v>2</v>
      </c>
      <c r="F15" t="inlineStr">
        <is>
          <t>[E]</t>
        </is>
      </c>
    </row>
    <row r="16">
      <c r="A16" t="inlineStr">
        <is>
          <t>Energy per cell</t>
        </is>
      </c>
      <c r="B16" t="inlineStr">
        <is>
          <t>kWh/cell</t>
        </is>
      </c>
      <c r="C16" s="3" t="n">
        <v>0.896</v>
      </c>
      <c r="D16" s="3" t="n">
        <v>0.896</v>
      </c>
      <c r="E16" s="3" t="n">
        <v>0.896</v>
      </c>
      <c r="F16" t="inlineStr">
        <is>
          <t>280 Ah x 3.2 V</t>
        </is>
      </c>
    </row>
    <row r="18">
      <c r="A18" s="2" t="inlineStr">
        <is>
          <t>Output (USD per good kWh)</t>
        </is>
      </c>
      <c r="B18" s="2" t="inlineStr">
        <is>
          <t>Unit</t>
        </is>
      </c>
      <c r="C18" s="2" t="inlineStr">
        <is>
          <t>1 GWh</t>
        </is>
      </c>
      <c r="D18" s="2" t="inlineStr">
        <is>
          <t>5 GWh</t>
        </is>
      </c>
      <c r="E18" s="2" t="inlineStr">
        <is>
          <t>10 GWh</t>
        </is>
      </c>
      <c r="F18" s="2" t="inlineStr">
        <is>
          <t>Formula</t>
        </is>
      </c>
    </row>
    <row r="19">
      <c r="A19" t="inlineStr">
        <is>
          <t>Material</t>
        </is>
      </c>
      <c r="B19" t="inlineStr">
        <is>
          <t>USD/kWh</t>
        </is>
      </c>
      <c r="C19" s="5">
        <f>C8/C9</f>
        <v/>
      </c>
      <c r="D19" s="5">
        <f>D8/D9</f>
        <v/>
      </c>
      <c r="E19" s="5">
        <f>E8/E9</f>
        <v/>
      </c>
      <c r="F19" t="inlineStr">
        <is>
          <t>base material ÷ yield</t>
        </is>
      </c>
    </row>
    <row r="20">
      <c r="A20" t="inlineStr">
        <is>
          <t>Capital charge</t>
        </is>
      </c>
      <c r="B20" t="inlineStr">
        <is>
          <t>USD/kWh</t>
        </is>
      </c>
      <c r="C20" s="5">
        <f>C5*C7/C6</f>
        <v/>
      </c>
      <c r="D20" s="5">
        <f>D5*D7/D6</f>
        <v/>
      </c>
      <c r="E20" s="5">
        <f>E5*E7/E6</f>
        <v/>
      </c>
      <c r="F20" t="inlineStr">
        <is>
          <t>capex/kWh × charge ÷ utilisation</t>
        </is>
      </c>
    </row>
    <row r="21">
      <c r="A21" t="inlineStr">
        <is>
          <t>Labour</t>
        </is>
      </c>
      <c r="B21" t="inlineStr">
        <is>
          <t>USD/kWh</t>
        </is>
      </c>
      <c r="C21" s="5">
        <f>C10*C4*C11/(C4*1000000*C6)</f>
        <v/>
      </c>
      <c r="D21" s="5">
        <f>D10*D4*D11/(D4*1000000*D6)</f>
        <v/>
      </c>
      <c r="E21" s="5">
        <f>E10*E4*E11/(E4*1000000*E6)</f>
        <v/>
      </c>
      <c r="F21" t="inlineStr">
        <is>
          <t>FTE × cost ÷ kWh produced</t>
        </is>
      </c>
    </row>
    <row r="22">
      <c r="A22" t="inlineStr">
        <is>
          <t>Energy</t>
        </is>
      </c>
      <c r="B22" t="inlineStr">
        <is>
          <t>USD/kWh</t>
        </is>
      </c>
      <c r="C22" s="5">
        <f>C12*C13</f>
        <v/>
      </c>
      <c r="D22" s="5">
        <f>D12*D13</f>
        <v/>
      </c>
      <c r="E22" s="5">
        <f>E12*E13</f>
        <v/>
      </c>
      <c r="F22" t="inlineStr">
        <is>
          <t>kWh/kWh × tariff</t>
        </is>
      </c>
    </row>
    <row r="23">
      <c r="A23" t="inlineStr">
        <is>
          <t>Maintenance</t>
        </is>
      </c>
      <c r="B23" t="inlineStr">
        <is>
          <t>USD/kWh</t>
        </is>
      </c>
      <c r="C23" s="5">
        <f>C14*C5/C6</f>
        <v/>
      </c>
      <c r="D23" s="5">
        <f>D14*D5/D6</f>
        <v/>
      </c>
      <c r="E23" s="5">
        <f>E14*E5/E6</f>
        <v/>
      </c>
      <c r="F23" t="inlineStr">
        <is>
          <t>% capex ÷ utilisation</t>
        </is>
      </c>
    </row>
    <row r="24">
      <c r="A24" t="inlineStr">
        <is>
          <t>Other overhead</t>
        </is>
      </c>
      <c r="B24" t="inlineStr">
        <is>
          <t>USD/kWh</t>
        </is>
      </c>
      <c r="C24" s="5">
        <f>C15</f>
        <v/>
      </c>
      <c r="D24" s="5">
        <f>D15</f>
        <v/>
      </c>
      <c r="E24" s="5">
        <f>E15</f>
        <v/>
      </c>
      <c r="F24" t="inlineStr"/>
    </row>
    <row r="25">
      <c r="A25" s="6" t="inlineStr">
        <is>
          <t>Total cell cost</t>
        </is>
      </c>
      <c r="B25" t="inlineStr">
        <is>
          <t>USD/kWh</t>
        </is>
      </c>
      <c r="C25" s="7">
        <f>SUM(C19:C24)</f>
        <v/>
      </c>
      <c r="D25" s="7">
        <f>SUM(D19:D24)</f>
        <v/>
      </c>
      <c r="E25" s="7">
        <f>SUM(E19:E24)</f>
        <v/>
      </c>
    </row>
    <row r="26">
      <c r="A26" t="inlineStr">
        <is>
          <t>Conversion cost (total − material)</t>
        </is>
      </c>
      <c r="B26" t="inlineStr">
        <is>
          <t>USD/kWh</t>
        </is>
      </c>
      <c r="C26" s="5">
        <f>C25-C19</f>
        <v/>
      </c>
      <c r="D26" s="5">
        <f>D25-D19</f>
        <v/>
      </c>
      <c r="E26" s="5">
        <f>E25-E19</f>
        <v/>
      </c>
    </row>
    <row r="27">
      <c r="A27" t="inlineStr">
        <is>
          <t>Cost per cell</t>
        </is>
      </c>
      <c r="B27" t="inlineStr">
        <is>
          <t>USD/cell</t>
        </is>
      </c>
      <c r="C27" s="5">
        <f>C25*C16</f>
        <v/>
      </c>
      <c r="D27" s="5">
        <f>D25*D16</f>
        <v/>
      </c>
      <c r="E27" s="5">
        <f>E25*E16</f>
        <v/>
      </c>
    </row>
    <row r="28">
      <c r="A28" t="inlineStr">
        <is>
          <t>Total capex</t>
        </is>
      </c>
      <c r="B28" t="inlineStr">
        <is>
          <t>USD M</t>
        </is>
      </c>
      <c r="C28" s="8">
        <f>C5*C4</f>
        <v/>
      </c>
      <c r="D28" s="8">
        <f>D5*D4</f>
        <v/>
      </c>
      <c r="E28" s="8">
        <f>E5*E4</f>
        <v/>
      </c>
    </row>
    <row r="30">
      <c r="A30" t="inlineStr">
        <is>
          <t>All values are illustrative engineering estimates [E] for learning, not quotes or verified costs. Sources for anchors: BNEF 2025 price survey; Thunder Said Energy gigafactory capex; SINTEF energy model (Batteries 2021).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2026-10-27T07:19:07Z</dcterms:created>
  <dcterms:modified xmlns:dcterms="http://purl.org/dc/terms/" xmlns:xsi="http://www.w3.org/2001/XMLSchema-instance" xsi:type="dcterms:W3CDTF">2026-10-27T07:19:07Z</dcterms:modified>
</cp:coreProperties>
</file>