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alled BESS" sheetId="1" state="visible" r:id="rId3"/>
    <sheet name="Upcoming BESS" sheetId="2" state="visible" r:id="rId4"/>
    <sheet name="NCR Companies" sheetId="3" state="visible" r:id="rId5"/>
    <sheet name="Gurgaon-Faridabad" sheetId="4" state="visible" r:id="rId6"/>
    <sheet name="Visit Plan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<sst xmlns="http://schemas.openxmlformats.org/spreadsheetml/2006/main" count="528" uniqueCount="391">
  <si>
    <t xml:space="preserve">BESS Installed in Delhi NCR – Ratings &amp; Contacts</t>
  </si>
  <si>
    <t xml:space="preserve">Compiled 30 Oct 2026 from public news/press releases (see Sources). Contacts are official corporate channels only – no personal numbers. Utility substations need prior written permission to visit.</t>
  </si>
  <si>
    <t xml:space="preserve">#</t>
  </si>
  <si>
    <t xml:space="preserve">Site / Location</t>
  </si>
  <si>
    <t xml:space="preserve">Area (NCR)</t>
  </si>
  <si>
    <t xml:space="preserve">Power (MW)</t>
  </si>
  <si>
    <t xml:space="preserve">Energy (MWh)</t>
  </si>
  <si>
    <t xml:space="preserve">Duration (h)</t>
  </si>
  <si>
    <t xml:space="preserve">Technology</t>
  </si>
  <si>
    <t xml:space="preserve">Commissioned</t>
  </si>
  <si>
    <t xml:space="preserve">Owner / Developer</t>
  </si>
  <si>
    <t xml:space="preserve">Integrator / Supplier</t>
  </si>
  <si>
    <t xml:space="preserve">Discom / Grid</t>
  </si>
  <si>
    <t xml:space="preserve">Who to contact for visit</t>
  </si>
  <si>
    <t xml:space="preserve">Contact channel (verify before use)</t>
  </si>
  <si>
    <t xml:space="preserve">Status</t>
  </si>
  <si>
    <t xml:space="preserve">Notes</t>
  </si>
  <si>
    <t xml:space="preserve">Phone / Mobile (officially published)</t>
  </si>
  <si>
    <t xml:space="preserve">BRPL 33/11 kV Kilokari substation (Ashram–Kilokri)</t>
  </si>
  <si>
    <t xml:space="preserve">South Delhi</t>
  </si>
  <si>
    <t xml:space="preserve">LFP, 12 liquid-cooled containers</t>
  </si>
  <si>
    <t xml:space="preserve">Apr 2025 (inaugurated 29 May 2025)</t>
  </si>
  <si>
    <t xml:space="preserve">Kilokari BESS Pvt Ltd (SPV of IndiGrid + AmpereHour); 70% funding support GEAPP</t>
  </si>
  <si>
    <t xml:space="preserve">AmpereHour Energy (turnkey, ELINA EMS)</t>
  </si>
  <si>
    <t xml:space="preserve">BSES Rajdhani Power Ltd (BRPL)</t>
  </si>
  <si>
    <t xml:space="preserve">BRPL – Corporate Communications / BESS project team; IndiGrid asset team; AmpereHour project team</t>
  </si>
  <si>
    <t xml:space="preserve">bsesdelhi.com (BRPL); BSES helpline 19123; indigrid.co.in; amperehourenergy.com</t>
  </si>
  <si>
    <t xml:space="preserve">Operational</t>
  </si>
  <si>
    <t xml:space="preserve">India's first DERC-approved commercial standalone BESS; 2 h day + 2 h night supply; ~1 lakh residents; 12-yr life</t>
  </si>
  <si>
    <t xml:space="preserve">BRPL office 011-49209999 | Helpline 19123 | WhatsApp 8800919123</t>
  </si>
  <si>
    <t xml:space="preserve">Tata Power-DDL Rohini substation</t>
  </si>
  <si>
    <t xml:space="preserve">North-West Delhi</t>
  </si>
  <si>
    <t xml:space="preserve">Li-ion, Fluence Advancion</t>
  </si>
  <si>
    <t xml:space="preserve">Feb 2019</t>
  </si>
  <si>
    <t xml:space="preserve">AES India + Mitsubishi Corporation</t>
  </si>
  <si>
    <t xml:space="preserve">Fluence (Siemens–AES JV)</t>
  </si>
  <si>
    <t xml:space="preserve">Tata Power Delhi Distribution Ltd (TPDDL)</t>
  </si>
  <si>
    <t xml:space="preserve">TPDDL – Corporate Communications / Smart Grid &amp; Innovation team</t>
  </si>
  <si>
    <t xml:space="preserve">tatapower-ddl.com; TPDDL helpline 19124; fluenceenergy.com</t>
  </si>
  <si>
    <t xml:space="preserve">India's first grid-scale BESS; peak management, frequency regulation, backup to critical loads</t>
  </si>
  <si>
    <t xml:space="preserve">TPDDL toll-free 19124 / 1800-208-9124</t>
  </si>
  <si>
    <t xml:space="preserve">Tata Power-DDL Rani Bagh substation</t>
  </si>
  <si>
    <t xml:space="preserve">Li-ion, containerised (community storage)</t>
  </si>
  <si>
    <t xml:space="preserve">2021</t>
  </si>
  <si>
    <t xml:space="preserve">Tata Power-DDL</t>
  </si>
  <si>
    <t xml:space="preserve">Nexcharge (Exide–Leclanché JV)</t>
  </si>
  <si>
    <t xml:space="preserve">TPDDL</t>
  </si>
  <si>
    <t xml:space="preserve">TPDDL – Smart Grid / Innovation team</t>
  </si>
  <si>
    <t xml:space="preserve">tatapower-ddl.com; helpline 19124</t>
  </si>
  <si>
    <t xml:space="preserve">India's first grid-connected community energy storage; good small-scale visit</t>
  </si>
  <si>
    <t xml:space="preserve">TERI UI-ASSIST pilot BESS (multiple Delhi sites)</t>
  </si>
  <si>
    <t xml:space="preserve">Delhi (discom feeders)</t>
  </si>
  <si>
    <t xml:space="preserve">Battery storage pilots</t>
  </si>
  <si>
    <t xml:space="preserve">~2020–21</t>
  </si>
  <si>
    <t xml:space="preserve">TERI (UI-ASSIST, US–India programme)</t>
  </si>
  <si>
    <t xml:space="preserve">BHEL</t>
  </si>
  <si>
    <t xml:space="preserve">Delhi discoms</t>
  </si>
  <si>
    <t xml:space="preserve">TERI – Energy/Power Division</t>
  </si>
  <si>
    <t xml:space="preserve">teriin.org (Darbari Seth Block, IHC, Lodhi Road)</t>
  </si>
  <si>
    <t xml:space="preserve">Pilot – confirm current status</t>
  </si>
  <si>
    <t xml:space="preserve">Cumulative 410 kWh; exact sites not public – ask TERI</t>
  </si>
  <si>
    <t xml:space="preserve">TERI 011-2468 2100 / 011-7110 2100 | mailbox@teri.res.in</t>
  </si>
  <si>
    <t xml:space="preserve">BYPL solar + Li-ion microgrids at 4 BYPL offices</t>
  </si>
  <si>
    <t xml:space="preserve">East Delhi</t>
  </si>
  <si>
    <t xml:space="preserve">Rooftop solar + Li-ion BESS</t>
  </si>
  <si>
    <t xml:space="preserve">Not published</t>
  </si>
  <si>
    <t xml:space="preserve">BSES Yamuna Power Ltd (BYPL)</t>
  </si>
  <si>
    <t xml:space="preserve">BYPL</t>
  </si>
  <si>
    <t xml:space="preserve">BYPL – Corporate Communications</t>
  </si>
  <si>
    <t xml:space="preserve">bsesdelhi.com (BYPL, Karkardooma); helpline 19122</t>
  </si>
  <si>
    <t xml:space="preserve">Operational (small)</t>
  </si>
  <si>
    <t xml:space="preserve">Behind-the-meter; sizes not published</t>
  </si>
  <si>
    <t xml:space="preserve">BYPL helpline 19122</t>
  </si>
  <si>
    <t xml:space="preserve">BYPL 5 × 200 kWh BESS (tender CMC/BY/20-21/RB/SV/29)</t>
  </si>
  <si>
    <t xml:space="preserve">East / Central Delhi</t>
  </si>
  <si>
    <t xml:space="preserve">BESS + allied equipment</t>
  </si>
  <si>
    <t xml:space="preserve">Tendered FY2020-21</t>
  </si>
  <si>
    <t xml:space="preserve">BYPL – Contracts &amp; Materials (CMC)</t>
  </si>
  <si>
    <t xml:space="preserve">bsesdelhi.com tenders section</t>
  </si>
  <si>
    <t xml:space="preserve">Status unconfirmed</t>
  </si>
  <si>
    <t xml:space="preserve">Ask BYPL whether all 5 units were commissioned and where</t>
  </si>
  <si>
    <t xml:space="preserve">TOTAL</t>
  </si>
  <si>
    <t xml:space="preserve">Rows 1–3 are the confirmed operating sites worth visiting. Rows 4–6 are small/pilot or unconfirmed – verify first.</t>
  </si>
  <si>
    <t xml:space="preserve">Note: one 2025 magazine article claims BYPL installed 20 MW and 40 MW BESS – not found in any other source, so excluded.</t>
  </si>
  <si>
    <t xml:space="preserve">Upcoming / Under-Tender BESS in Delhi NCR</t>
  </si>
  <si>
    <t xml:space="preserve">Useful for meeting developers &amp; EPCs now – sites under construction can sometimes be visited via the contractor.</t>
  </si>
  <si>
    <t xml:space="preserve">Site</t>
  </si>
  <si>
    <t xml:space="preserve">Area</t>
  </si>
  <si>
    <t xml:space="preserve">Buyer / Discom</t>
  </si>
  <si>
    <t xml:space="preserve">Developer / Status</t>
  </si>
  <si>
    <t xml:space="preserve">Key date</t>
  </si>
  <si>
    <t xml:space="preserve">Contact channel</t>
  </si>
  <si>
    <t xml:space="preserve">33/11 kV Shivalik grid (Malviya Nagar)</t>
  </si>
  <si>
    <t xml:space="preserve">BRPL</t>
  </si>
  <si>
    <t xml:space="preserve">TERI tender Dec 2025; foundation stone laid</t>
  </si>
  <si>
    <t xml:space="preserve">DERC approval 4 Nov 2025</t>
  </si>
  <si>
    <t xml:space="preserve">bsesdelhi.com; teriin.org</t>
  </si>
  <si>
    <t xml:space="preserve">Part of 55.5 MW / 111 MWh batch</t>
  </si>
  <si>
    <t xml:space="preserve">BRPL office 011-49209999 | Helpline 19123 | WhatsApp 8800919123 | TERI 011-2468 2100 / 011-7110 2100 | mailbox@teri.res.in</t>
  </si>
  <si>
    <t xml:space="preserve">66/11 kV G5 Matiala</t>
  </si>
  <si>
    <t xml:space="preserve">South-West Delhi</t>
  </si>
  <si>
    <t xml:space="preserve">TERI tender Dec 2025</t>
  </si>
  <si>
    <t xml:space="preserve">Part of 55.5 MW batch (no foundation stone reported)</t>
  </si>
  <si>
    <t xml:space="preserve">66/11 kV G7 Dwarka</t>
  </si>
  <si>
    <t xml:space="preserve">Part of 55.5 MW batch</t>
  </si>
  <si>
    <t xml:space="preserve">66/11 kV Goyala Khurd</t>
  </si>
  <si>
    <t xml:space="preserve">66/11 kV G4 Dwarka</t>
  </si>
  <si>
    <t xml:space="preserve">Pace Digitek LoI (57.5 MW/115 MWh, 4 sites)</t>
  </si>
  <si>
    <t xml:space="preserve">LoI Oct 2026</t>
  </si>
  <si>
    <t xml:space="preserve">pacedigitek.com</t>
  </si>
  <si>
    <t xml:space="preserve">Rows 5–8 total 57.5 MW/115 MWh = Pace Digitek award (sites inferred from DERC order)</t>
  </si>
  <si>
    <t xml:space="preserve">66/11 kV G3 PPK Bindapur</t>
  </si>
  <si>
    <t xml:space="preserve">West Delhi</t>
  </si>
  <si>
    <t xml:space="preserve">Pace Digitek LoI</t>
  </si>
  <si>
    <t xml:space="preserve">Tariff ₹47.05 lakh/MW/yr</t>
  </si>
  <si>
    <t xml:space="preserve">66/11 kV Hari Nagar</t>
  </si>
  <si>
    <t xml:space="preserve">66/11 kV Sagarpur</t>
  </si>
  <si>
    <t xml:space="preserve">DTL Pappankala-2</t>
  </si>
  <si>
    <t xml:space="preserve">Approved; bidding via TERI</t>
  </si>
  <si>
    <t xml:space="preserve">DERC approval Jun 2026</t>
  </si>
  <si>
    <t xml:space="preserve">Largest single Delhi site planned</t>
  </si>
  <si>
    <t xml:space="preserve">Greater Noida standalone BESS</t>
  </si>
  <si>
    <t xml:space="preserve">Greater Noida (UP)</t>
  </si>
  <si>
    <t xml:space="preserve">Noida Power Co. Ltd (NPCL)</t>
  </si>
  <si>
    <t xml:space="preserve">UPERC approved bid documents</t>
  </si>
  <si>
    <t xml:space="preserve">2026</t>
  </si>
  <si>
    <t xml:space="preserve">noidapower.com</t>
  </si>
  <si>
    <t xml:space="preserve">4-hour system; no capital subsidy</t>
  </si>
  <si>
    <t xml:space="preserve">NPCL 0120-622 6666 (via directory – verify)</t>
  </si>
  <si>
    <t xml:space="preserve">TPDDL distribution-transformer BESS pilot (ADB grant)</t>
  </si>
  <si>
    <t xml:space="preserve">North Delhi</t>
  </si>
  <si>
    <t xml:space="preserve">ADB $2 m grant for pilot BESS</t>
  </si>
  <si>
    <t xml:space="preserve">Announced</t>
  </si>
  <si>
    <t xml:space="preserve">tatapower-ddl.com</t>
  </si>
  <si>
    <t xml:space="preserve">Size not published</t>
  </si>
  <si>
    <t xml:space="preserve">Companies in / for Delhi NCR that can help (BESS)</t>
  </si>
  <si>
    <t xml:space="preserve">'High' = most useful for site visits or deep technical access. Confirm addresses/emails on each company's own website before reaching out.</t>
  </si>
  <si>
    <t xml:space="preserve">Company</t>
  </si>
  <si>
    <t xml:space="preserve">Base (NCR)</t>
  </si>
  <si>
    <t xml:space="preserve">Role in BESS</t>
  </si>
  <si>
    <t xml:space="preserve">How they can help you</t>
  </si>
  <si>
    <t xml:space="preserve">Relevant track record</t>
  </si>
  <si>
    <t xml:space="preserve">Website / official channel (verify)</t>
  </si>
  <si>
    <t xml:space="preserve">Priority</t>
  </si>
  <si>
    <t xml:space="preserve">GoodEnough Energy</t>
  </si>
  <si>
    <t xml:space="preserve">Greater Noida HQ; 7 GWh gigafactory in Noida</t>
  </si>
  <si>
    <t xml:space="preserve">BESS manufacturer (containers, C&amp;I)</t>
  </si>
  <si>
    <t xml:space="preserve">Factory visit, supplier quotes, manufacturing/costing insight</t>
  </si>
  <si>
    <t xml:space="preserve">India's largest BESS factory (7 GWh, ₹450 cr), scaling to 25 GWh</t>
  </si>
  <si>
    <t xml:space="preserve">goodenough.energy (verify)</t>
  </si>
  <si>
    <t xml:space="preserve">High</t>
  </si>
  <si>
    <t xml:space="preserve">Not published; finance@goodenough.energy; regd. office C-85, Sector 88, Noida 201305</t>
  </si>
  <si>
    <t xml:space="preserve">SPML Infra Ltd</t>
  </si>
  <si>
    <t xml:space="preserve">New Delhi</t>
  </si>
  <si>
    <t xml:space="preserve">EPC + local B-Vault pack manufacturing (Energy Vault licence)</t>
  </si>
  <si>
    <t xml:space="preserve">Grid-scale EPC know-how, project visits</t>
  </si>
  <si>
    <t xml:space="preserve">₹1,128 cr 1 GWh BESS EPC for NTPC Barauni</t>
  </si>
  <si>
    <t xml:space="preserve">spml.co.in; investor.relations@spml.co.in</t>
  </si>
  <si>
    <t xml:space="preserve">Not published; investor.relations@spml.co.in</t>
  </si>
  <si>
    <t xml:space="preserve">ACME Solar Holdings</t>
  </si>
  <si>
    <t xml:space="preserve">Gurugram (Haryana HQ)</t>
  </si>
  <si>
    <t xml:space="preserve">IPP / developer</t>
  </si>
  <si>
    <t xml:space="preserve">Large-scale project economics, FDRE/peak-power models</t>
  </si>
  <si>
    <t xml:space="preserve">~4.96 GWh operational BESS (Rajasthan)</t>
  </si>
  <si>
    <t xml:space="preserve">acmesolar.in</t>
  </si>
  <si>
    <t xml:space="preserve">Medium</t>
  </si>
  <si>
    <t xml:space="preserve">Not published – use website contact form</t>
  </si>
  <si>
    <t xml:space="preserve">Exicom Tele-Systems</t>
  </si>
  <si>
    <t xml:space="preserve">Gurugram</t>
  </si>
  <si>
    <t xml:space="preserve">Li-ion storage for telecom &amp; data centres; BESS MoU with EONEX</t>
  </si>
  <si>
    <t xml:space="preserve">C&amp;I / telecom storage, BMS</t>
  </si>
  <si>
    <t xml:space="preserve">EV chargers + critical-power storage</t>
  </si>
  <si>
    <t xml:space="preserve">exicom.in</t>
  </si>
  <si>
    <t xml:space="preserve">FuelON (AN3 Techno Power / GP Eco Solutions)</t>
  </si>
  <si>
    <t xml:space="preserve">Noida</t>
  </si>
  <si>
    <t xml:space="preserve">BESS production facility</t>
  </si>
  <si>
    <t xml:space="preserve">Plant visit, small/mid BESS supply</t>
  </si>
  <si>
    <t xml:space="preserve">New Noida BESS line</t>
  </si>
  <si>
    <t xml:space="preserve">Search 'FuelON BESS Noida'</t>
  </si>
  <si>
    <t xml:space="preserve">Luminous Power Technologies</t>
  </si>
  <si>
    <t xml:space="preserve">Inverters, Li-ion &amp; home/C&amp;I storage</t>
  </si>
  <si>
    <t xml:space="preserve">Residential/C&amp;I storage, dealer network</t>
  </si>
  <si>
    <t xml:space="preserve">Large Indian battery/inverter brand</t>
  </si>
  <si>
    <t xml:space="preserve">luminousindia.com</t>
  </si>
  <si>
    <t xml:space="preserve">Low–Med</t>
  </si>
  <si>
    <t xml:space="preserve">Livguard Energy</t>
  </si>
  <si>
    <t xml:space="preserve">Batteries &amp; storage</t>
  </si>
  <si>
    <t xml:space="preserve">C&amp;I storage supply</t>
  </si>
  <si>
    <t xml:space="preserve">₹3,520 cr revenue (2024)</t>
  </si>
  <si>
    <t xml:space="preserve">livguard.com</t>
  </si>
  <si>
    <t xml:space="preserve">Delta Electronics India</t>
  </si>
  <si>
    <t xml:space="preserve">Gurugram (India HQ)</t>
  </si>
  <si>
    <t xml:space="preserve">PCS / containerised BESS</t>
  </si>
  <si>
    <t xml:space="preserve">Power conversion, integration</t>
  </si>
  <si>
    <t xml:space="preserve">Containerised industrial BESS</t>
  </si>
  <si>
    <t xml:space="preserve">deltaelectronicsindia.com</t>
  </si>
  <si>
    <t xml:space="preserve">Ornate Solar (UnityESS)</t>
  </si>
  <si>
    <t xml:space="preserve">BESS brand / integrator (C&amp;I)</t>
  </si>
  <si>
    <t xml:space="preserve">C&amp;I solar+storage design &amp; quotes</t>
  </si>
  <si>
    <t xml:space="preserve">UnityESS product line</t>
  </si>
  <si>
    <t xml:space="preserve">ornatesolar.com</t>
  </si>
  <si>
    <t xml:space="preserve">Servotech Renewable Power</t>
  </si>
  <si>
    <t xml:space="preserve">Delhi</t>
  </si>
  <si>
    <t xml:space="preserve">BESS / solar / EV charger maker</t>
  </si>
  <si>
    <t xml:space="preserve">Small–mid BESS, local support</t>
  </si>
  <si>
    <t xml:space="preserve">Listed company with BESS line</t>
  </si>
  <si>
    <t xml:space="preserve">servotech.in</t>
  </si>
  <si>
    <t xml:space="preserve">TERI (The Energy &amp; Resources Institute)</t>
  </si>
  <si>
    <t xml:space="preserve">New Delhi (Lodhi Road)</t>
  </si>
  <si>
    <t xml:space="preserve">Bid process manager for all BRPL BESS tenders</t>
  </si>
  <si>
    <t xml:space="preserve">Best door to site visits, data, research tie-up</t>
  </si>
  <si>
    <t xml:space="preserve">Ran Kilokari, 55.5 MW and 57.5 MW tenders</t>
  </si>
  <si>
    <t xml:space="preserve">teriin.org</t>
  </si>
  <si>
    <t xml:space="preserve">BSES Rajdhani (BRPL)</t>
  </si>
  <si>
    <t xml:space="preserve">Nehru Place, New Delhi</t>
  </si>
  <si>
    <t xml:space="preserve">Discom &amp; BESS buyer</t>
  </si>
  <si>
    <t xml:space="preserve">Permission to visit Kilokari &amp; new sites</t>
  </si>
  <si>
    <t xml:space="preserve">Kilokari 20 MW/40 MWh + ~150 MW pipeline</t>
  </si>
  <si>
    <t xml:space="preserve">bsesdelhi.com; 19123</t>
  </si>
  <si>
    <t xml:space="preserve">Pitampura / Rohini, Delhi</t>
  </si>
  <si>
    <t xml:space="preserve">Discom &amp; host of Rohini BESS</t>
  </si>
  <si>
    <t xml:space="preserve">Permission to visit Rohini &amp; Rani Bagh</t>
  </si>
  <si>
    <t xml:space="preserve">10 MW/10 MWh (2019), 528 kWh community BESS</t>
  </si>
  <si>
    <t xml:space="preserve">tatapower-ddl.com; 19124</t>
  </si>
  <si>
    <t xml:space="preserve">Noida Power Co. (NPCL)</t>
  </si>
  <si>
    <t xml:space="preserve">Greater Noida</t>
  </si>
  <si>
    <t xml:space="preserve">Discom; 80 MW/320 MWh buyer</t>
  </si>
  <si>
    <t xml:space="preserve">Upcoming site, tender info</t>
  </si>
  <si>
    <t xml:space="preserve">UPERC-approved BESS tender</t>
  </si>
  <si>
    <t xml:space="preserve">0120-622 6666 (via directory – verify)</t>
  </si>
  <si>
    <t xml:space="preserve">AmpereHour Energy (outside NCR – Pune)</t>
  </si>
  <si>
    <t xml:space="preserve">Pune; Delhi project team</t>
  </si>
  <si>
    <t xml:space="preserve">Integrator of Kilokari</t>
  </si>
  <si>
    <t xml:space="preserve">Technical walkthrough at Kilokari</t>
  </si>
  <si>
    <t xml:space="preserve">~100 MWh commissioned; 180 MW/360 MWh Gujarat</t>
  </si>
  <si>
    <t xml:space="preserve">amperehourenergy.com</t>
  </si>
  <si>
    <t xml:space="preserve">IndiGrid (outside NCR – Mumbai)</t>
  </si>
  <si>
    <t xml:space="preserve">Mumbai</t>
  </si>
  <si>
    <t xml:space="preserve">Owner of Kilokari SPV</t>
  </si>
  <si>
    <t xml:space="preserve">Asset-owner view, BESSA tariff model</t>
  </si>
  <si>
    <t xml:space="preserve">Kilokari + 180 MW/360 MWh Gujarat</t>
  </si>
  <si>
    <t xml:space="preserve">indigrid.co.in</t>
  </si>
  <si>
    <t xml:space="preserve">Pace Digitek (outside NCR – Bengaluru)</t>
  </si>
  <si>
    <t xml:space="preserve">Bengaluru</t>
  </si>
  <si>
    <t xml:space="preserve">Developer of BRPL 57.5 MW/115 MWh</t>
  </si>
  <si>
    <t xml:space="preserve">Upcoming Delhi sites; 5 GWh BESS manufacturing</t>
  </si>
  <si>
    <t xml:space="preserve">BRPL LoI Oct 2026</t>
  </si>
  <si>
    <t xml:space="preserve">BESS in Gurgaon &amp; Faridabad (Haryana NCR)</t>
  </si>
  <si>
    <t xml:space="preserve">As of 30 Oct 2026, no utility-scale BESS is publicly reported as installed inside Gurugram or Faridabad. Both cities are served by DHBVN, whose first BESS tenders are sited elsewhere in Haryana. Rooftop/C&amp;I batteries exist in malls, offices and data centres but sizes aren't published – ask the suppliers below for reference sites.</t>
  </si>
  <si>
    <t xml:space="preserve">Project / Company</t>
  </si>
  <si>
    <t xml:space="preserve">Location</t>
  </si>
  <si>
    <t xml:space="preserve">Owner / Buyer</t>
  </si>
  <si>
    <t xml:space="preserve">Phone / contact (official)</t>
  </si>
  <si>
    <t xml:space="preserve">DHBVN 10 MW/20 MWh standalone BESS (VGF)</t>
  </si>
  <si>
    <t xml:space="preserve">33 kV Jaglan, Khera, Siwani, Bhiwani + others</t>
  </si>
  <si>
    <t xml:space="preserve">DHBVN</t>
  </si>
  <si>
    <t xml:space="preserve">Tender (bids Sep 2025); Haryana targets commissioning by Jul 2027</t>
  </si>
  <si>
    <t xml:space="preserve">dhbvn.org.in; DHBVN helpline 1912</t>
  </si>
  <si>
    <t xml:space="preserve">First Haryana discom BESS; not in Gurugram/Faridabad</t>
  </si>
  <si>
    <t xml:space="preserve">DHBVN 4 × 2.5 MW/5 MWh BESS (RfS 7/DHBVNL/BESS/Ph-I)</t>
  </si>
  <si>
    <t xml:space="preserve">33 kV substations, DHBVN &amp; UHBVN areas (sites not named)</t>
  </si>
  <si>
    <t xml:space="preserve">Tendered Aug 2025</t>
  </si>
  <si>
    <t xml:space="preserve">dhbvn.org.in; helpline 1912</t>
  </si>
  <si>
    <t xml:space="preserve">Ask DHBVN if any site is in Gurugram/Faridabad circles</t>
  </si>
  <si>
    <t xml:space="preserve">SJVN 265 MW/530 MWh standalone BESS</t>
  </si>
  <si>
    <t xml:space="preserve">Panipat Thermal Power Station (~100 km from Gurgaon)</t>
  </si>
  <si>
    <t xml:space="preserve">SJVN / Haryana</t>
  </si>
  <si>
    <t xml:space="preserve">Awarded to NLC India Renewables (Sep 2026)</t>
  </si>
  <si>
    <t xml:space="preserve">sjvn.nic.in; nlcindia.in</t>
  </si>
  <si>
    <t xml:space="preserve">Largest Haryana BESS; under development</t>
  </si>
  <si>
    <t xml:space="preserve">ACME Solar Holdings (HQ)</t>
  </si>
  <si>
    <t xml:space="preserve">—</t>
  </si>
  <si>
    <t xml:space="preserve">Developer</t>
  </si>
  <si>
    <t xml:space="preserve">~4.96 GWh BESS operating in Rajasthan</t>
  </si>
  <si>
    <t xml:space="preserve">acmesolar.in – contact form</t>
  </si>
  <si>
    <t xml:space="preserve">Best Gurgaon-based utility BESS contact</t>
  </si>
  <si>
    <t xml:space="preserve">Telecom/data-centre Li-ion storage</t>
  </si>
  <si>
    <t xml:space="preserve">Active</t>
  </si>
  <si>
    <t xml:space="preserve">exicom.in – contact form</t>
  </si>
  <si>
    <t xml:space="preserve">Can show C&amp;I/telecom installs in Gurgaon</t>
  </si>
  <si>
    <t xml:space="preserve">PCS, containerised BESS</t>
  </si>
  <si>
    <t xml:space="preserve">Power conversion side</t>
  </si>
  <si>
    <t xml:space="preserve">Home/C&amp;I Li-ion storage</t>
  </si>
  <si>
    <t xml:space="preserve">Large dealer network</t>
  </si>
  <si>
    <t xml:space="preserve">C&amp;I BESS integrator</t>
  </si>
  <si>
    <t xml:space="preserve">Ask for Gurgaon C&amp;I reference sites</t>
  </si>
  <si>
    <t xml:space="preserve">Loom Solar</t>
  </si>
  <si>
    <t xml:space="preserve">Faridabad (Haryana)</t>
  </si>
  <si>
    <t xml:space="preserve">Solar + BESS for homes, offices, hospitals, schools</t>
  </si>
  <si>
    <t xml:space="preserve">loomsolar.com – contact form</t>
  </si>
  <si>
    <t xml:space="preserve">Faridabad-based; does site assessment visits</t>
  </si>
  <si>
    <t xml:space="preserve">PURE Energy (PuREPower)</t>
  </si>
  <si>
    <t xml:space="preserve">Serves Gurugram</t>
  </si>
  <si>
    <t xml:space="preserve">Residential BESS</t>
  </si>
  <si>
    <t xml:space="preserve">92400 45993 / 92400 38453; WhatsApp 90591 02777</t>
  </si>
  <si>
    <t xml:space="preserve">Numbers from its Gurugram service page</t>
  </si>
  <si>
    <t xml:space="preserve">How to arrange visits</t>
  </si>
  <si>
    <t xml:space="preserve">Substations are restricted premises – always get written approval first.</t>
  </si>
  <si>
    <t xml:space="preserve">Step</t>
  </si>
  <si>
    <t xml:space="preserve">Action</t>
  </si>
  <si>
    <t xml:space="preserve">Detail</t>
  </si>
  <si>
    <t xml:space="preserve">Shortlist</t>
  </si>
  <si>
    <t xml:space="preserve">Start with Kilokari (BRPL, 20 MW) and Rohini (TPDDL, 10 MW) – the only two grid-scale sites operating in Delhi.</t>
  </si>
  <si>
    <t xml:space="preserve">Write formal request</t>
  </si>
  <si>
    <t xml:space="preserve">Email the discom's corporate communications with: your name, organisation/college, purpose (research/costing study), date options, group size, ID. Ask for a supervised visit.</t>
  </si>
  <si>
    <t xml:space="preserve">Use TERI as a door</t>
  </si>
  <si>
    <t xml:space="preserve">TERI manages BRPL's BESS tenders – a research request through TERI often gets faster utility access.</t>
  </si>
  <si>
    <t xml:space="preserve">Go via the integrator</t>
  </si>
  <si>
    <t xml:space="preserve">AmpereHour (Kilokari) and Fluence (Rohini) do O&amp;M – a technical contact there can sponsor a walk-through.</t>
  </si>
  <si>
    <t xml:space="preserve">Factory visit</t>
  </si>
  <si>
    <t xml:space="preserve">GoodEnough Energy (Noida) – easiest physical visit; see cells → modules → containers; ask about BOM and costing.</t>
  </si>
  <si>
    <t xml:space="preserve">Under-construction sites</t>
  </si>
  <si>
    <t xml:space="preserve">Matiala, Dwarka, Goyala Khurd, Shivalik and Pace Digitek sites – contact EPC contractor once named.</t>
  </si>
  <si>
    <t xml:space="preserve">Carry</t>
  </si>
  <si>
    <t xml:space="preserve">Govt ID, safety shoes, written approval; no photos inside substation unless allowed.</t>
  </si>
  <si>
    <t xml:space="preserve">Questions to ask</t>
  </si>
  <si>
    <t xml:space="preserve">Cell chemistry &amp; supplier, PCS rating, round-trip efficiency, augmentation plan, fire suppression, capex ₹/MWh, tariff (₹/MW/month), O&amp;M cost, degradation data.</t>
  </si>
  <si>
    <t xml:space="preserve">Sources</t>
  </si>
  <si>
    <t xml:space="preserve">All accessed 30 Oct 2026</t>
  </si>
  <si>
    <t xml:space="preserve">Item</t>
  </si>
  <si>
    <t xml:space="preserve">URL</t>
  </si>
  <si>
    <t xml:space="preserve">Kilokari 20 MW/40 MWh – inauguration (PTI / The Week)</t>
  </si>
  <si>
    <t xml:space="preserve">https://www.theweek.in/wire-updates/business/2025/05/29/des64-dl-power-battery-storage.html</t>
  </si>
  <si>
    <t xml:space="preserve">Kilokari – AmpereHour commissioning (Saur Energy)</t>
  </si>
  <si>
    <t xml:space="preserve">https://www.saurenergy.com/ev-storage/amperehour-commissions-bess-for-indigrid-at-brpl-delhi</t>
  </si>
  <si>
    <t xml:space="preserve">Kilokari – SPV ownership (pv magazine)</t>
  </si>
  <si>
    <t xml:space="preserve">https://www.pv-magazine.com/2024/05/08/indias-first-utility-scale-standalone-storage-project-gets-regulatory-nod</t>
  </si>
  <si>
    <t xml:space="preserve">Kilokari – LFP, 12-yr life (SolarQuarter)</t>
  </si>
  <si>
    <t xml:space="preserve">https://solarquarter.com/2025/03/18/indias-first-commercially-approved-20-mw-standalone-battery-energy-storage-system-to-go-live-in-delhi/</t>
  </si>
  <si>
    <t xml:space="preserve">Rohini 10 MW/10 MWh (Fluence)</t>
  </si>
  <si>
    <t xml:space="preserve">https://blog.fluenceenergy.com/south-asia-largest-energy-storage-system-india</t>
  </si>
  <si>
    <t xml:space="preserve">Rohini (TaiyangNews)</t>
  </si>
  <si>
    <t xml:space="preserve">https://taiyangnews.info/markets/tata-power-gets-10-mw-energy-storage-system-for-delhi</t>
  </si>
  <si>
    <t xml:space="preserve">Rani Bagh community BESS (Energy-Storage.news)</t>
  </si>
  <si>
    <t xml:space="preserve">https://www.energy-storage.news/indias-first-grid-connected-community-energy-storage-system-inaugurated-in-delhi</t>
  </si>
  <si>
    <t xml:space="preserve">BHEL TERI UI-ASSIST 410 kWh (pv magazine India)</t>
  </si>
  <si>
    <t xml:space="preserve">https://www.pv-magazine-india.com/region/delhi/page/4</t>
  </si>
  <si>
    <t xml:space="preserve">BYPL microgrids (pv magazine India)</t>
  </si>
  <si>
    <t xml:space="preserve">https://www.pv-magazine-india.com/tag/bses-yamuna-power-limited-bypl</t>
  </si>
  <si>
    <t xml:space="preserve">BYPL 5x200 kWh tender (BSES)</t>
  </si>
  <si>
    <t xml:space="preserve">https://www.bsesdelhi.com/documents/73527/2497782/Replies_to_bidders_queries_BESS_NIT29.pdf</t>
  </si>
  <si>
    <t xml:space="preserve">BRPL 55.5 MW/111 MWh sites (Daily Pioneer)</t>
  </si>
  <si>
    <t xml:space="preserve">https://www.dailypioneer.com/2025/state-editions/brpl-gears-up-to-expand-battery-storage-system-across-key-areas.html</t>
  </si>
  <si>
    <t xml:space="preserve">Foundation stones Shivalik/Dwarka/Goyala Khurd (Saur Energy)</t>
  </si>
  <si>
    <t xml:space="preserve">https://www.saurenergy.com/solar-energy-news/delhi-cm-rekha-gupta-lays-foundation-stone-for-555-mw111-mwh-bess-projects-11160689</t>
  </si>
  <si>
    <t xml:space="preserve">BRPL 97.5 MW/195 MWh sites (Power Peak Digest)</t>
  </si>
  <si>
    <t xml:space="preserve">https://powerpeakdigest.com/derc-approves-brpl-97-5mw-195mwh-bess/</t>
  </si>
  <si>
    <t xml:space="preserve">Pace Digitek 57.5 MW/115 MWh LoI (Renewable Watch)</t>
  </si>
  <si>
    <t xml:space="preserve">https://renewablewatch.in/2026/10/09/pace-digitek-bags-115-mwh-bess-project-from-brpl/</t>
  </si>
  <si>
    <t xml:space="preserve">NPCL 80 MW/320 MWh Greater Noida (Mercom)</t>
  </si>
  <si>
    <t xml:space="preserve">https://www.mercomindia.com/uperc-approves-320-mwh-battery-storage-procurement-without-capital-subsidy</t>
  </si>
  <si>
    <t xml:space="preserve">TPDDL ADB BESS pilot (Tata Power)</t>
  </si>
  <si>
    <t xml:space="preserve">https://www.tatapower.com/news-and-media/media-releases/adb-tata-power-sign-deal-to-enhance-delhis-power-distribution-through-grid-enhancements-and-battery-energy-storage-system</t>
  </si>
  <si>
    <t xml:space="preserve">GoodEnough Noida gigafactory (Renewable Watch)</t>
  </si>
  <si>
    <t xml:space="preserve">https://renewablewatch.in/2026/01/21/goodenough-energy-operationalises-7-gwh-bess-gigafactory-in-noida/</t>
  </si>
  <si>
    <t xml:space="preserve">SPML Infra – Energy Vault (Saur Energy)</t>
  </si>
  <si>
    <t xml:space="preserve">https://www.saurenergy.com/ev-storage/spml-infra-in-tie-up-with-energy-vault-to-make-deploy-batteries-in-india</t>
  </si>
  <si>
    <t xml:space="preserve">SPML Infra NTPC 1 GWh (T&amp;D India)</t>
  </si>
  <si>
    <t xml:space="preserve">https://www.tndindia.com/tag/energy-vault/</t>
  </si>
  <si>
    <t xml:space="preserve">ACME Solar 4.96 GWh (ESS News)</t>
  </si>
  <si>
    <t xml:space="preserve">https://www.ess-news.com/2026/10/02/acme-solar-commissions-107-mw-437-mwh-of-bess-in-india/</t>
  </si>
  <si>
    <t xml:space="preserve">Exicom Gurugram (Power Peak Digest)</t>
  </si>
  <si>
    <t xml:space="preserve">https://powerpeakdigest.com/exicom-and-eonex-energy-sign-mou-to-deploy-bess-projects/</t>
  </si>
  <si>
    <t xml:space="preserve">FuelON Noida BESS (Machinist)</t>
  </si>
  <si>
    <t xml:space="preserve">https://machinist.in/tag/bess/page/2/</t>
  </si>
  <si>
    <t xml:space="preserve">BESS companies list (Blackridge Research)</t>
  </si>
  <si>
    <t xml:space="preserve">https://www.blackridgeresearch.com/blog/latest-list-of-top-largest-bess-battery-energy-storage-system-companies-manufacturers-india</t>
  </si>
  <si>
    <t xml:space="preserve">BRPL contact page</t>
  </si>
  <si>
    <t xml:space="preserve">https://www.bsesdelhi.com/web/brpl/about-us</t>
  </si>
  <si>
    <t xml:space="preserve">TPDDL website (toll-free)</t>
  </si>
  <si>
    <t xml:space="preserve">https://www.tatapower-ddl.com/</t>
  </si>
  <si>
    <t xml:space="preserve">TERI contact page</t>
  </si>
  <si>
    <t xml:space="preserve">https://teriin.org/contact</t>
  </si>
  <si>
    <t xml:space="preserve">GoodEnough registered details (Tofler)</t>
  </si>
  <si>
    <t xml:space="preserve">https://tofler.in/good-enough-energy-private-limited/company/U35105UP2023PTC184184</t>
  </si>
  <si>
    <t xml:space="preserve">NPCL number (directory – verify)</t>
  </si>
  <si>
    <t xml:space="preserve">https://www.indiacustomercare.com/noida-power-company-limited-npcl-contact-no-0120-622-6666</t>
  </si>
  <si>
    <t xml:space="preserve">DHBVN 10 MW/20 MWh BESS tender (Saur Energy)</t>
  </si>
  <si>
    <t xml:space="preserve">https://www.saurenergy.com/solar-energy-news/haryana-discom-floats-first-10-mw20-mwh-bess-tender-with-vgf-support-9674182</t>
  </si>
  <si>
    <t xml:space="preserve">DHBVN 4 x 2.5 MW BESS tender (SolarQuarter)</t>
  </si>
  <si>
    <t xml:space="preserve">https://solarquarter.com/2025/08/19/haryana-issues-tender-for-four-2-5mw-5-mwh-battery-energy-storage-projects-to-strengthen-power-grid/</t>
  </si>
  <si>
    <t xml:space="preserve">Haryana 20 MWh by Jul 2027 (T&amp;D India)</t>
  </si>
  <si>
    <t xml:space="preserve">https://www.tndindia.com/haryana-to-commission-20-mwh-vgf-backed-bess-capacity-by-july-2027/</t>
  </si>
  <si>
    <t xml:space="preserve">SJVN 265 MW BESS awarded to NIRL (Renewable Watch)</t>
  </si>
  <si>
    <t xml:space="preserve">https://renewablewatch.in/2026/09/28/nirl-wins-sjvns-265-mw-bess-auction/</t>
  </si>
  <si>
    <t xml:space="preserve">SJVN BESS at Panipat TPS (Construction World)</t>
  </si>
  <si>
    <t xml:space="preserve">https://www.constructionworld.in/policy-updates-and-economic-news/sjvn-invites-bids-for-265-mw-bess-at-panipat-thermal-power-station/95212</t>
  </si>
  <si>
    <t xml:space="preserve">PURE Energy Gurugram page</t>
  </si>
  <si>
    <t xml:space="preserve">https://www.pureenergy.co.in/residential-bess-energy-storage/haryana/gurugram</t>
  </si>
  <si>
    <t xml:space="preserve">Loom Solar Faridabad (WindySolar)</t>
  </si>
  <si>
    <t xml:space="preserve">https://windysolar.com/bess-company-in-faridabad-haryana/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</si>
</sst>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##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Delhi NCR BESS – Energy (MWh) by site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'Upcoming BESS'!E4</c:f>
              <c:strCache>
                <c:ptCount val="1"/>
                <c:pt idx="0">
                  <c:v>Energy (MWh)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'Upcoming BESS'!$B$5:$B$15</c:f>
              <c:strCache>
                <c:ptCount val="11"/>
                <c:pt idx="0">
                  <c:v>33/11 kV Shivalik grid (Malviya Nagar)</c:v>
                </c:pt>
                <c:pt idx="1">
                  <c:v>66/11 kV G5 Matiala</c:v>
                </c:pt>
                <c:pt idx="2">
                  <c:v>66/11 kV G7 Dwarka</c:v>
                </c:pt>
                <c:pt idx="3">
                  <c:v>66/11 kV Goyala Khurd</c:v>
                </c:pt>
                <c:pt idx="4">
                  <c:v>66/11 kV G4 Dwarka</c:v>
                </c:pt>
                <c:pt idx="5">
                  <c:v>66/11 kV G3 PPK Bindapur</c:v>
                </c:pt>
                <c:pt idx="6">
                  <c:v>66/11 kV Hari Nagar</c:v>
                </c:pt>
                <c:pt idx="7">
                  <c:v>66/11 kV Sagarpur</c:v>
                </c:pt>
                <c:pt idx="8">
                  <c:v>DTL Pappankala-2</c:v>
                </c:pt>
                <c:pt idx="9">
                  <c:v>Greater Noida standalone BESS</c:v>
                </c:pt>
                <c:pt idx="10">
                  <c:v>TPDDL distribution-transformer BESS pilot (ADB grant)</c:v>
                </c:pt>
              </c:strCache>
            </c:strRef>
          </c:cat>
          <c:val>
            <c:numRef>
              <c:f>'Upcoming BESS'!$E$5:$E$15</c:f>
              <c:numCache>
                <c:formatCode>0.0##</c:formatCode>
                <c:ptCount val="11"/>
                <c:pt idx="0">
                  <c:v>25</c:v>
                </c:pt>
                <c:pt idx="1">
                  <c:v>64</c:v>
                </c:pt>
                <c:pt idx="2">
                  <c:v>8</c:v>
                </c:pt>
                <c:pt idx="3">
                  <c:v>14</c:v>
                </c:pt>
                <c:pt idx="4">
                  <c:v>10</c:v>
                </c:pt>
                <c:pt idx="5">
                  <c:v>30</c:v>
                </c:pt>
                <c:pt idx="6">
                  <c:v>15</c:v>
                </c:pt>
                <c:pt idx="7">
                  <c:v>60</c:v>
                </c:pt>
                <c:pt idx="8">
                  <c:v>80</c:v>
                </c:pt>
                <c:pt idx="9">
                  <c:v>320</c:v>
                </c:pt>
              </c:numCache>
            </c:numRef>
          </c:val>
        </c:ser>
        <c:gapWidth val="150"/>
        <c:overlap val="0"/>
        <c:axId val="68907952"/>
        <c:axId val="55234238"/>
      </c:barChart>
      <c:catAx>
        <c:axId val="68907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34238"/>
        <c:crosses val="autoZero"/>
        <c:auto val="1"/>
        <c:lblAlgn val="ctr"/>
        <c:lblOffset val="100"/>
        <c:noMultiLvlLbl val="0"/>
      </c:catAx>
      <c:valAx>
        <c:axId val="552342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079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248400</xdr:rowOff>
    </xdr:from>
    <xdr:to>
      <xdr:col>6</xdr:col>
      <xdr:colOff>1505160</xdr:colOff>
      <xdr:row>30</xdr:row>
      <xdr:rowOff>24120</xdr:rowOff>
    </xdr:to>
    <xdr:graphicFrame>
      <xdr:nvGraphicFramePr>
        <xdr:cNvPr id="0" name="Chart 1"/>
        <xdr:cNvGraphicFramePr/>
      </xdr:nvGraphicFramePr>
      <xdr:xfrm>
        <a:off x="281880" y="3591720"/>
        <a:ext cx="7919280" cy="32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22"/>
    <col collapsed="false" customWidth="true" hidden="false" outlineLevel="0" max="8" min="8" style="1" width="18"/>
    <col collapsed="false" customWidth="true" hidden="false" outlineLevel="0" max="9" min="9" style="1" width="30"/>
    <col collapsed="false" customWidth="true" hidden="false" outlineLevel="0" max="10" min="10" style="1" width="24"/>
    <col collapsed="false" customWidth="true" hidden="false" outlineLevel="0" max="11" min="11" style="1" width="22"/>
    <col collapsed="false" customWidth="true" hidden="false" outlineLevel="0" max="12" min="12" style="1" width="32"/>
    <col collapsed="false" customWidth="true" hidden="false" outlineLevel="0" max="13" min="13" style="1" width="34"/>
    <col collapsed="false" customWidth="true" hidden="false" outlineLevel="0" max="14" min="14" style="1" width="16"/>
    <col collapsed="false" customWidth="true" hidden="false" outlineLevel="0" max="15" min="15" style="1" width="40"/>
    <col collapsed="false" customWidth="true" hidden="false" outlineLevel="0" max="16" min="16" style="0" width="3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customFormat="false" ht="34.5" hidden="false" customHeight="true" outlineLevel="0" collapsed="false">
      <c r="A5" s="5" t="n">
        <v>1</v>
      </c>
      <c r="B5" s="5" t="s">
        <v>18</v>
      </c>
      <c r="C5" s="5" t="s">
        <v>19</v>
      </c>
      <c r="D5" s="6" t="n">
        <v>20</v>
      </c>
      <c r="E5" s="6" t="n">
        <v>40</v>
      </c>
      <c r="F5" s="6" t="n">
        <f aca="false">IF(AND(ISNUMBER(D5),ISNUMBER(E5),D5&gt;0),E5/D5,"-")</f>
        <v>2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5" t="s">
        <v>29</v>
      </c>
    </row>
    <row r="6" customFormat="false" ht="23.25" hidden="false" customHeight="true" outlineLevel="0" collapsed="false">
      <c r="A6" s="5" t="n">
        <v>2</v>
      </c>
      <c r="B6" s="5" t="s">
        <v>30</v>
      </c>
      <c r="C6" s="5" t="s">
        <v>31</v>
      </c>
      <c r="D6" s="6" t="n">
        <v>10</v>
      </c>
      <c r="E6" s="6" t="n">
        <v>10</v>
      </c>
      <c r="F6" s="6" t="n">
        <f aca="false">IF(AND(ISNUMBER(D6),ISNUMBER(E6),D6&gt;0),E6/D6,"-")</f>
        <v>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27</v>
      </c>
      <c r="O6" s="5" t="s">
        <v>39</v>
      </c>
      <c r="P6" s="5" t="s">
        <v>40</v>
      </c>
    </row>
    <row r="7" customFormat="false" ht="23.25" hidden="false" customHeight="true" outlineLevel="0" collapsed="false">
      <c r="A7" s="5" t="n">
        <v>3</v>
      </c>
      <c r="B7" s="5" t="s">
        <v>41</v>
      </c>
      <c r="C7" s="5" t="s">
        <v>31</v>
      </c>
      <c r="D7" s="6" t="n">
        <v>0.15</v>
      </c>
      <c r="E7" s="6" t="n">
        <v>0.528</v>
      </c>
      <c r="F7" s="6" t="n">
        <f aca="false">IF(AND(ISNUMBER(D7),ISNUMBER(E7),D7&gt;0),E7/D7,"-")</f>
        <v>3.52</v>
      </c>
      <c r="G7" s="5" t="s">
        <v>42</v>
      </c>
      <c r="H7" s="5" t="s">
        <v>43</v>
      </c>
      <c r="I7" s="5" t="s">
        <v>44</v>
      </c>
      <c r="J7" s="5" t="s">
        <v>45</v>
      </c>
      <c r="K7" s="5" t="s">
        <v>46</v>
      </c>
      <c r="L7" s="5" t="s">
        <v>47</v>
      </c>
      <c r="M7" s="5" t="s">
        <v>48</v>
      </c>
      <c r="N7" s="5" t="s">
        <v>27</v>
      </c>
      <c r="O7" s="5" t="s">
        <v>49</v>
      </c>
      <c r="P7" s="5" t="s">
        <v>40</v>
      </c>
    </row>
    <row r="8" customFormat="false" ht="23.25" hidden="false" customHeight="true" outlineLevel="0" collapsed="false">
      <c r="A8" s="5" t="n">
        <v>4</v>
      </c>
      <c r="B8" s="5" t="s">
        <v>50</v>
      </c>
      <c r="C8" s="5" t="s">
        <v>51</v>
      </c>
      <c r="D8" s="6"/>
      <c r="E8" s="6" t="n">
        <v>0.41</v>
      </c>
      <c r="F8" s="6" t="str">
        <f aca="false">IF(AND(ISNUMBER(D8),ISNUMBER(E8),D8&gt;0),E8/D8,"-")</f>
        <v>-</v>
      </c>
      <c r="G8" s="5" t="s">
        <v>52</v>
      </c>
      <c r="H8" s="5" t="s">
        <v>53</v>
      </c>
      <c r="I8" s="5" t="s">
        <v>54</v>
      </c>
      <c r="J8" s="5" t="s">
        <v>55</v>
      </c>
      <c r="K8" s="5" t="s">
        <v>56</v>
      </c>
      <c r="L8" s="5" t="s">
        <v>57</v>
      </c>
      <c r="M8" s="5" t="s">
        <v>58</v>
      </c>
      <c r="N8" s="5" t="s">
        <v>59</v>
      </c>
      <c r="O8" s="5" t="s">
        <v>60</v>
      </c>
      <c r="P8" s="5" t="s">
        <v>61</v>
      </c>
    </row>
    <row r="9" customFormat="false" ht="23.25" hidden="false" customHeight="true" outlineLevel="0" collapsed="false">
      <c r="A9" s="5" t="n">
        <v>5</v>
      </c>
      <c r="B9" s="5" t="s">
        <v>62</v>
      </c>
      <c r="C9" s="5" t="s">
        <v>63</v>
      </c>
      <c r="D9" s="6"/>
      <c r="E9" s="6"/>
      <c r="F9" s="6" t="str">
        <f aca="false">IF(AND(ISNUMBER(D9),ISNUMBER(E9),D9&gt;0),E9/D9,"-")</f>
        <v>-</v>
      </c>
      <c r="G9" s="5" t="s">
        <v>64</v>
      </c>
      <c r="H9" s="5" t="s">
        <v>65</v>
      </c>
      <c r="I9" s="5" t="s">
        <v>66</v>
      </c>
      <c r="J9" s="5" t="s">
        <v>65</v>
      </c>
      <c r="K9" s="5" t="s">
        <v>67</v>
      </c>
      <c r="L9" s="5" t="s">
        <v>68</v>
      </c>
      <c r="M9" s="5" t="s">
        <v>69</v>
      </c>
      <c r="N9" s="5" t="s">
        <v>70</v>
      </c>
      <c r="O9" s="5" t="s">
        <v>71</v>
      </c>
      <c r="P9" s="5" t="s">
        <v>72</v>
      </c>
    </row>
    <row r="10" customFormat="false" ht="23.25" hidden="false" customHeight="true" outlineLevel="0" collapsed="false">
      <c r="A10" s="5" t="n">
        <v>6</v>
      </c>
      <c r="B10" s="5" t="s">
        <v>73</v>
      </c>
      <c r="C10" s="5" t="s">
        <v>74</v>
      </c>
      <c r="D10" s="6"/>
      <c r="E10" s="6" t="n">
        <v>1</v>
      </c>
      <c r="F10" s="6" t="str">
        <f aca="false">IF(AND(ISNUMBER(D10),ISNUMBER(E10),D10&gt;0),E10/D10,"-")</f>
        <v>-</v>
      </c>
      <c r="G10" s="5" t="s">
        <v>75</v>
      </c>
      <c r="H10" s="5" t="s">
        <v>76</v>
      </c>
      <c r="I10" s="5" t="s">
        <v>67</v>
      </c>
      <c r="J10" s="5" t="s">
        <v>65</v>
      </c>
      <c r="K10" s="5" t="s">
        <v>67</v>
      </c>
      <c r="L10" s="5" t="s">
        <v>77</v>
      </c>
      <c r="M10" s="5" t="s">
        <v>78</v>
      </c>
      <c r="N10" s="5" t="s">
        <v>79</v>
      </c>
      <c r="O10" s="5" t="s">
        <v>80</v>
      </c>
      <c r="P10" s="5" t="s">
        <v>72</v>
      </c>
    </row>
    <row r="11" customFormat="false" ht="15" hidden="false" customHeight="true" outlineLevel="0" collapsed="false">
      <c r="C11" s="7" t="s">
        <v>81</v>
      </c>
      <c r="D11" s="7" t="n">
        <f aca="false">SUM(D5:D10)</f>
        <v>30.15</v>
      </c>
      <c r="E11" s="7" t="n">
        <f aca="false">SUM(E5:E10)</f>
        <v>51.938</v>
      </c>
    </row>
    <row r="13" customFormat="false" ht="15" hidden="false" customHeight="true" outlineLevel="0" collapsed="false">
      <c r="B13" s="8" t="s">
        <v>82</v>
      </c>
    </row>
    <row r="14" customFormat="false" ht="15" hidden="false" customHeight="true" outlineLevel="0" collapsed="false">
      <c r="B14" s="8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18"/>
    <col collapsed="false" customWidth="true" hidden="false" outlineLevel="0" max="7" min="7" style="1" width="32"/>
    <col collapsed="false" customWidth="true" hidden="false" outlineLevel="0" max="8" min="8" style="1" width="20"/>
    <col collapsed="false" customWidth="true" hidden="false" outlineLevel="0" max="9" min="9" style="1" width="26"/>
    <col collapsed="false" customWidth="true" hidden="false" outlineLevel="0" max="10" min="10" style="1" width="40"/>
    <col collapsed="false" customWidth="true" hidden="false" outlineLevel="0" max="11" min="11" style="0" width="34"/>
  </cols>
  <sheetData>
    <row r="1" customFormat="false" ht="17.25" hidden="false" customHeight="true" outlineLevel="0" collapsed="false">
      <c r="A1" s="2" t="s">
        <v>84</v>
      </c>
    </row>
    <row r="2" customFormat="false" ht="15" hidden="false" customHeight="true" outlineLevel="0" collapsed="false">
      <c r="A2" s="3" t="s">
        <v>85</v>
      </c>
    </row>
    <row r="4" customFormat="false" ht="31.5" hidden="false" customHeight="true" outlineLevel="0" collapsed="false">
      <c r="A4" s="4" t="s">
        <v>2</v>
      </c>
      <c r="B4" s="4" t="s">
        <v>86</v>
      </c>
      <c r="C4" s="4" t="s">
        <v>87</v>
      </c>
      <c r="D4" s="4" t="s">
        <v>5</v>
      </c>
      <c r="E4" s="4" t="s">
        <v>6</v>
      </c>
      <c r="F4" s="4" t="s">
        <v>88</v>
      </c>
      <c r="G4" s="4" t="s">
        <v>89</v>
      </c>
      <c r="H4" s="4" t="s">
        <v>90</v>
      </c>
      <c r="I4" s="4" t="s">
        <v>91</v>
      </c>
      <c r="J4" s="4" t="s">
        <v>16</v>
      </c>
      <c r="K4" s="4" t="s">
        <v>17</v>
      </c>
    </row>
    <row r="5" customFormat="false" ht="23.25" hidden="false" customHeight="true" outlineLevel="0" collapsed="false">
      <c r="A5" s="5" t="n">
        <v>1</v>
      </c>
      <c r="B5" s="5" t="s">
        <v>92</v>
      </c>
      <c r="C5" s="5" t="s">
        <v>19</v>
      </c>
      <c r="D5" s="6" t="n">
        <v>12.5</v>
      </c>
      <c r="E5" s="6" t="n">
        <v>25</v>
      </c>
      <c r="F5" s="5" t="s">
        <v>93</v>
      </c>
      <c r="G5" s="5" t="s">
        <v>94</v>
      </c>
      <c r="H5" s="5" t="s">
        <v>95</v>
      </c>
      <c r="I5" s="5" t="s">
        <v>96</v>
      </c>
      <c r="J5" s="5" t="s">
        <v>97</v>
      </c>
      <c r="K5" s="5" t="s">
        <v>98</v>
      </c>
    </row>
    <row r="6" customFormat="false" ht="23.25" hidden="false" customHeight="true" outlineLevel="0" collapsed="false">
      <c r="A6" s="5" t="n">
        <v>2</v>
      </c>
      <c r="B6" s="5" t="s">
        <v>99</v>
      </c>
      <c r="C6" s="5" t="s">
        <v>100</v>
      </c>
      <c r="D6" s="6" t="n">
        <v>32</v>
      </c>
      <c r="E6" s="6" t="n">
        <v>64</v>
      </c>
      <c r="F6" s="5" t="s">
        <v>93</v>
      </c>
      <c r="G6" s="5" t="s">
        <v>101</v>
      </c>
      <c r="H6" s="5" t="s">
        <v>95</v>
      </c>
      <c r="I6" s="5" t="s">
        <v>96</v>
      </c>
      <c r="J6" s="5" t="s">
        <v>102</v>
      </c>
      <c r="K6" s="5" t="s">
        <v>98</v>
      </c>
    </row>
    <row r="7" customFormat="false" ht="23.25" hidden="false" customHeight="true" outlineLevel="0" collapsed="false">
      <c r="A7" s="5" t="n">
        <v>3</v>
      </c>
      <c r="B7" s="5" t="s">
        <v>103</v>
      </c>
      <c r="C7" s="5" t="s">
        <v>100</v>
      </c>
      <c r="D7" s="6" t="n">
        <v>4</v>
      </c>
      <c r="E7" s="6" t="n">
        <v>8</v>
      </c>
      <c r="F7" s="5" t="s">
        <v>93</v>
      </c>
      <c r="G7" s="5" t="s">
        <v>94</v>
      </c>
      <c r="H7" s="5" t="s">
        <v>95</v>
      </c>
      <c r="I7" s="5" t="s">
        <v>96</v>
      </c>
      <c r="J7" s="5" t="s">
        <v>104</v>
      </c>
      <c r="K7" s="5" t="s">
        <v>98</v>
      </c>
    </row>
    <row r="8" customFormat="false" ht="23.25" hidden="false" customHeight="true" outlineLevel="0" collapsed="false">
      <c r="A8" s="5" t="n">
        <v>4</v>
      </c>
      <c r="B8" s="5" t="s">
        <v>105</v>
      </c>
      <c r="C8" s="5" t="s">
        <v>100</v>
      </c>
      <c r="D8" s="6" t="n">
        <v>7</v>
      </c>
      <c r="E8" s="6" t="n">
        <v>14</v>
      </c>
      <c r="F8" s="5" t="s">
        <v>93</v>
      </c>
      <c r="G8" s="5" t="s">
        <v>94</v>
      </c>
      <c r="H8" s="5" t="s">
        <v>95</v>
      </c>
      <c r="I8" s="5" t="s">
        <v>96</v>
      </c>
      <c r="J8" s="5" t="s">
        <v>104</v>
      </c>
      <c r="K8" s="5" t="s">
        <v>98</v>
      </c>
    </row>
    <row r="9" customFormat="false" ht="23.25" hidden="false" customHeight="true" outlineLevel="0" collapsed="false">
      <c r="A9" s="5" t="n">
        <v>5</v>
      </c>
      <c r="B9" s="5" t="s">
        <v>106</v>
      </c>
      <c r="C9" s="5" t="s">
        <v>100</v>
      </c>
      <c r="D9" s="6" t="n">
        <v>5</v>
      </c>
      <c r="E9" s="6" t="n">
        <v>10</v>
      </c>
      <c r="F9" s="5" t="s">
        <v>93</v>
      </c>
      <c r="G9" s="5" t="s">
        <v>107</v>
      </c>
      <c r="H9" s="5" t="s">
        <v>108</v>
      </c>
      <c r="I9" s="5" t="s">
        <v>109</v>
      </c>
      <c r="J9" s="5" t="s">
        <v>110</v>
      </c>
      <c r="K9" s="5" t="s">
        <v>29</v>
      </c>
    </row>
    <row r="10" customFormat="false" ht="15" hidden="false" customHeight="true" outlineLevel="0" collapsed="false">
      <c r="A10" s="5" t="n">
        <v>6</v>
      </c>
      <c r="B10" s="5" t="s">
        <v>111</v>
      </c>
      <c r="C10" s="5" t="s">
        <v>112</v>
      </c>
      <c r="D10" s="6" t="n">
        <v>15</v>
      </c>
      <c r="E10" s="6" t="n">
        <v>30</v>
      </c>
      <c r="F10" s="5" t="s">
        <v>93</v>
      </c>
      <c r="G10" s="5" t="s">
        <v>113</v>
      </c>
      <c r="H10" s="5" t="s">
        <v>108</v>
      </c>
      <c r="I10" s="5" t="s">
        <v>109</v>
      </c>
      <c r="J10" s="5" t="s">
        <v>114</v>
      </c>
      <c r="K10" s="5" t="s">
        <v>29</v>
      </c>
    </row>
    <row r="11" customFormat="false" ht="15" hidden="false" customHeight="true" outlineLevel="0" collapsed="false">
      <c r="A11" s="5" t="n">
        <v>7</v>
      </c>
      <c r="B11" s="5" t="s">
        <v>115</v>
      </c>
      <c r="C11" s="5" t="s">
        <v>112</v>
      </c>
      <c r="D11" s="6" t="n">
        <v>7.5</v>
      </c>
      <c r="E11" s="6" t="n">
        <v>15</v>
      </c>
      <c r="F11" s="5" t="s">
        <v>93</v>
      </c>
      <c r="G11" s="5" t="s">
        <v>113</v>
      </c>
      <c r="H11" s="5" t="s">
        <v>108</v>
      </c>
      <c r="I11" s="5" t="s">
        <v>109</v>
      </c>
      <c r="J11" s="5"/>
      <c r="K11" s="5" t="s">
        <v>29</v>
      </c>
    </row>
    <row r="12" customFormat="false" ht="15" hidden="false" customHeight="true" outlineLevel="0" collapsed="false">
      <c r="A12" s="5" t="n">
        <v>8</v>
      </c>
      <c r="B12" s="5" t="s">
        <v>116</v>
      </c>
      <c r="C12" s="5" t="s">
        <v>100</v>
      </c>
      <c r="D12" s="6" t="n">
        <v>30</v>
      </c>
      <c r="E12" s="6" t="n">
        <v>60</v>
      </c>
      <c r="F12" s="5" t="s">
        <v>93</v>
      </c>
      <c r="G12" s="5" t="s">
        <v>113</v>
      </c>
      <c r="H12" s="5" t="s">
        <v>108</v>
      </c>
      <c r="I12" s="5" t="s">
        <v>109</v>
      </c>
      <c r="J12" s="5"/>
      <c r="K12" s="5" t="s">
        <v>29</v>
      </c>
    </row>
    <row r="13" customFormat="false" ht="23.25" hidden="false" customHeight="true" outlineLevel="0" collapsed="false">
      <c r="A13" s="5" t="n">
        <v>9</v>
      </c>
      <c r="B13" s="5" t="s">
        <v>117</v>
      </c>
      <c r="C13" s="5" t="s">
        <v>100</v>
      </c>
      <c r="D13" s="6" t="n">
        <v>40</v>
      </c>
      <c r="E13" s="6" t="n">
        <v>80</v>
      </c>
      <c r="F13" s="5" t="s">
        <v>93</v>
      </c>
      <c r="G13" s="5" t="s">
        <v>118</v>
      </c>
      <c r="H13" s="5" t="s">
        <v>119</v>
      </c>
      <c r="I13" s="5" t="s">
        <v>96</v>
      </c>
      <c r="J13" s="5" t="s">
        <v>120</v>
      </c>
      <c r="K13" s="5" t="s">
        <v>29</v>
      </c>
    </row>
    <row r="14" customFormat="false" ht="23.25" hidden="false" customHeight="true" outlineLevel="0" collapsed="false">
      <c r="A14" s="5" t="n">
        <v>10</v>
      </c>
      <c r="B14" s="5" t="s">
        <v>121</v>
      </c>
      <c r="C14" s="5" t="s">
        <v>122</v>
      </c>
      <c r="D14" s="6" t="n">
        <v>80</v>
      </c>
      <c r="E14" s="6" t="n">
        <v>320</v>
      </c>
      <c r="F14" s="5" t="s">
        <v>123</v>
      </c>
      <c r="G14" s="5" t="s">
        <v>124</v>
      </c>
      <c r="H14" s="5" t="s">
        <v>125</v>
      </c>
      <c r="I14" s="5" t="s">
        <v>126</v>
      </c>
      <c r="J14" s="5" t="s">
        <v>127</v>
      </c>
      <c r="K14" s="5" t="s">
        <v>128</v>
      </c>
    </row>
    <row r="15" customFormat="false" ht="23.25" hidden="false" customHeight="true" outlineLevel="0" collapsed="false">
      <c r="A15" s="5" t="n">
        <v>11</v>
      </c>
      <c r="B15" s="5" t="s">
        <v>129</v>
      </c>
      <c r="C15" s="5" t="s">
        <v>130</v>
      </c>
      <c r="D15" s="6"/>
      <c r="E15" s="6"/>
      <c r="F15" s="5" t="s">
        <v>46</v>
      </c>
      <c r="G15" s="5" t="s">
        <v>131</v>
      </c>
      <c r="H15" s="5" t="s">
        <v>132</v>
      </c>
      <c r="I15" s="5" t="s">
        <v>133</v>
      </c>
      <c r="J15" s="5" t="s">
        <v>134</v>
      </c>
      <c r="K15" s="5" t="s">
        <v>40</v>
      </c>
    </row>
    <row r="16" customFormat="false" ht="15" hidden="false" customHeight="true" outlineLevel="0" collapsed="false">
      <c r="C16" s="9" t="s">
        <v>81</v>
      </c>
      <c r="D16" s="9" t="n">
        <f aca="false">SUM(D5:D15)</f>
        <v>233</v>
      </c>
      <c r="E16" s="9" t="n">
        <f aca="false">SUM(E5:E15)</f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4" min="4" style="1" width="30"/>
    <col collapsed="false" customWidth="true" hidden="false" outlineLevel="0" max="5" min="5" style="1" width="34"/>
    <col collapsed="false" customWidth="true" hidden="false" outlineLevel="0" max="6" min="6" style="1" width="36"/>
    <col collapsed="false" customWidth="true" hidden="false" outlineLevel="0" max="7" min="7" style="1" width="32"/>
    <col collapsed="false" customWidth="true" hidden="false" outlineLevel="0" max="8" min="8" style="1" width="10"/>
    <col collapsed="false" customWidth="true" hidden="false" outlineLevel="0" max="9" min="9" style="0" width="40"/>
  </cols>
  <sheetData>
    <row r="1" customFormat="false" ht="17.25" hidden="false" customHeight="true" outlineLevel="0" collapsed="false">
      <c r="A1" s="2" t="s">
        <v>135</v>
      </c>
    </row>
    <row r="2" customFormat="false" ht="15" hidden="false" customHeight="true" outlineLevel="0" collapsed="false">
      <c r="A2" s="3" t="s">
        <v>136</v>
      </c>
    </row>
    <row r="4" customFormat="false" ht="31.5" hidden="false" customHeight="true" outlineLevel="0" collapsed="false">
      <c r="A4" s="4" t="s">
        <v>2</v>
      </c>
      <c r="B4" s="4" t="s">
        <v>137</v>
      </c>
      <c r="C4" s="4" t="s">
        <v>138</v>
      </c>
      <c r="D4" s="4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17</v>
      </c>
    </row>
    <row r="5" customFormat="false" ht="23.25" hidden="false" customHeight="true" outlineLevel="0" collapsed="false">
      <c r="A5" s="5" t="n">
        <v>1</v>
      </c>
      <c r="B5" s="5" t="s">
        <v>144</v>
      </c>
      <c r="C5" s="5" t="s">
        <v>145</v>
      </c>
      <c r="D5" s="5" t="s">
        <v>146</v>
      </c>
      <c r="E5" s="5" t="s">
        <v>147</v>
      </c>
      <c r="F5" s="5" t="s">
        <v>148</v>
      </c>
      <c r="G5" s="5" t="s">
        <v>149</v>
      </c>
      <c r="H5" s="10" t="s">
        <v>150</v>
      </c>
      <c r="I5" s="5" t="s">
        <v>151</v>
      </c>
    </row>
    <row r="6" customFormat="false" ht="34.5" hidden="false" customHeight="true" outlineLevel="0" collapsed="false">
      <c r="A6" s="5" t="n">
        <v>2</v>
      </c>
      <c r="B6" s="5" t="s">
        <v>152</v>
      </c>
      <c r="C6" s="5" t="s">
        <v>153</v>
      </c>
      <c r="D6" s="5" t="s">
        <v>154</v>
      </c>
      <c r="E6" s="5" t="s">
        <v>155</v>
      </c>
      <c r="F6" s="5" t="s">
        <v>156</v>
      </c>
      <c r="G6" s="5" t="s">
        <v>157</v>
      </c>
      <c r="H6" s="10" t="s">
        <v>150</v>
      </c>
      <c r="I6" s="5" t="s">
        <v>158</v>
      </c>
    </row>
    <row r="7" customFormat="false" ht="23.25" hidden="false" customHeight="true" outlineLevel="0" collapsed="false">
      <c r="A7" s="5" t="n">
        <v>3</v>
      </c>
      <c r="B7" s="5" t="s">
        <v>159</v>
      </c>
      <c r="C7" s="5" t="s">
        <v>160</v>
      </c>
      <c r="D7" s="5" t="s">
        <v>161</v>
      </c>
      <c r="E7" s="5" t="s">
        <v>162</v>
      </c>
      <c r="F7" s="5" t="s">
        <v>163</v>
      </c>
      <c r="G7" s="5" t="s">
        <v>164</v>
      </c>
      <c r="H7" s="5" t="s">
        <v>165</v>
      </c>
      <c r="I7" s="5" t="s">
        <v>166</v>
      </c>
    </row>
    <row r="8" customFormat="false" ht="23.25" hidden="false" customHeight="true" outlineLevel="0" collapsed="false">
      <c r="A8" s="5" t="n">
        <v>4</v>
      </c>
      <c r="B8" s="5" t="s">
        <v>167</v>
      </c>
      <c r="C8" s="5" t="s">
        <v>168</v>
      </c>
      <c r="D8" s="5" t="s">
        <v>169</v>
      </c>
      <c r="E8" s="5" t="s">
        <v>170</v>
      </c>
      <c r="F8" s="5" t="s">
        <v>171</v>
      </c>
      <c r="G8" s="5" t="s">
        <v>172</v>
      </c>
      <c r="H8" s="5" t="s">
        <v>165</v>
      </c>
      <c r="I8" s="5" t="s">
        <v>166</v>
      </c>
    </row>
    <row r="9" customFormat="false" ht="23.25" hidden="false" customHeight="true" outlineLevel="0" collapsed="false">
      <c r="A9" s="5" t="n">
        <v>5</v>
      </c>
      <c r="B9" s="5" t="s">
        <v>173</v>
      </c>
      <c r="C9" s="5" t="s">
        <v>174</v>
      </c>
      <c r="D9" s="5" t="s">
        <v>175</v>
      </c>
      <c r="E9" s="5" t="s">
        <v>176</v>
      </c>
      <c r="F9" s="5" t="s">
        <v>177</v>
      </c>
      <c r="G9" s="5" t="s">
        <v>178</v>
      </c>
      <c r="H9" s="5" t="s">
        <v>165</v>
      </c>
      <c r="I9" s="5" t="s">
        <v>166</v>
      </c>
    </row>
    <row r="10" customFormat="false" ht="15" hidden="false" customHeight="true" outlineLevel="0" collapsed="false">
      <c r="A10" s="5" t="n">
        <v>6</v>
      </c>
      <c r="B10" s="5" t="s">
        <v>179</v>
      </c>
      <c r="C10" s="5" t="s">
        <v>168</v>
      </c>
      <c r="D10" s="5" t="s">
        <v>180</v>
      </c>
      <c r="E10" s="5" t="s">
        <v>181</v>
      </c>
      <c r="F10" s="5" t="s">
        <v>182</v>
      </c>
      <c r="G10" s="5" t="s">
        <v>183</v>
      </c>
      <c r="H10" s="5" t="s">
        <v>184</v>
      </c>
      <c r="I10" s="5" t="s">
        <v>166</v>
      </c>
    </row>
    <row r="11" customFormat="false" ht="15" hidden="false" customHeight="true" outlineLevel="0" collapsed="false">
      <c r="A11" s="5" t="n">
        <v>7</v>
      </c>
      <c r="B11" s="5" t="s">
        <v>185</v>
      </c>
      <c r="C11" s="5" t="s">
        <v>168</v>
      </c>
      <c r="D11" s="5" t="s">
        <v>186</v>
      </c>
      <c r="E11" s="5" t="s">
        <v>187</v>
      </c>
      <c r="F11" s="5" t="s">
        <v>188</v>
      </c>
      <c r="G11" s="5" t="s">
        <v>189</v>
      </c>
      <c r="H11" s="5" t="s">
        <v>184</v>
      </c>
      <c r="I11" s="5" t="s">
        <v>166</v>
      </c>
    </row>
    <row r="12" customFormat="false" ht="15" hidden="false" customHeight="true" outlineLevel="0" collapsed="false">
      <c r="A12" s="5" t="n">
        <v>8</v>
      </c>
      <c r="B12" s="5" t="s">
        <v>190</v>
      </c>
      <c r="C12" s="5" t="s">
        <v>191</v>
      </c>
      <c r="D12" s="5" t="s">
        <v>192</v>
      </c>
      <c r="E12" s="5" t="s">
        <v>193</v>
      </c>
      <c r="F12" s="5" t="s">
        <v>194</v>
      </c>
      <c r="G12" s="5" t="s">
        <v>195</v>
      </c>
      <c r="H12" s="5" t="s">
        <v>165</v>
      </c>
      <c r="I12" s="5" t="s">
        <v>166</v>
      </c>
    </row>
    <row r="13" customFormat="false" ht="15" hidden="false" customHeight="true" outlineLevel="0" collapsed="false">
      <c r="A13" s="5" t="n">
        <v>9</v>
      </c>
      <c r="B13" s="5" t="s">
        <v>196</v>
      </c>
      <c r="C13" s="5" t="s">
        <v>168</v>
      </c>
      <c r="D13" s="5" t="s">
        <v>197</v>
      </c>
      <c r="E13" s="5" t="s">
        <v>198</v>
      </c>
      <c r="F13" s="5" t="s">
        <v>199</v>
      </c>
      <c r="G13" s="5" t="s">
        <v>200</v>
      </c>
      <c r="H13" s="5" t="s">
        <v>165</v>
      </c>
      <c r="I13" s="5" t="s">
        <v>166</v>
      </c>
    </row>
    <row r="14" customFormat="false" ht="15" hidden="false" customHeight="true" outlineLevel="0" collapsed="false">
      <c r="A14" s="5" t="n">
        <v>10</v>
      </c>
      <c r="B14" s="5" t="s">
        <v>201</v>
      </c>
      <c r="C14" s="5" t="s">
        <v>202</v>
      </c>
      <c r="D14" s="5" t="s">
        <v>203</v>
      </c>
      <c r="E14" s="5" t="s">
        <v>204</v>
      </c>
      <c r="F14" s="5" t="s">
        <v>205</v>
      </c>
      <c r="G14" s="5" t="s">
        <v>206</v>
      </c>
      <c r="H14" s="5" t="s">
        <v>184</v>
      </c>
      <c r="I14" s="5" t="s">
        <v>166</v>
      </c>
    </row>
    <row r="15" customFormat="false" ht="23.25" hidden="false" customHeight="true" outlineLevel="0" collapsed="false">
      <c r="A15" s="5" t="n">
        <v>11</v>
      </c>
      <c r="B15" s="5" t="s">
        <v>207</v>
      </c>
      <c r="C15" s="5" t="s">
        <v>208</v>
      </c>
      <c r="D15" s="5" t="s">
        <v>209</v>
      </c>
      <c r="E15" s="5" t="s">
        <v>210</v>
      </c>
      <c r="F15" s="5" t="s">
        <v>211</v>
      </c>
      <c r="G15" s="5" t="s">
        <v>212</v>
      </c>
      <c r="H15" s="10" t="s">
        <v>150</v>
      </c>
      <c r="I15" s="5" t="s">
        <v>61</v>
      </c>
    </row>
    <row r="16" customFormat="false" ht="23.25" hidden="false" customHeight="true" outlineLevel="0" collapsed="false">
      <c r="A16" s="5" t="n">
        <v>12</v>
      </c>
      <c r="B16" s="5" t="s">
        <v>213</v>
      </c>
      <c r="C16" s="5" t="s">
        <v>214</v>
      </c>
      <c r="D16" s="5" t="s">
        <v>215</v>
      </c>
      <c r="E16" s="5" t="s">
        <v>216</v>
      </c>
      <c r="F16" s="5" t="s">
        <v>217</v>
      </c>
      <c r="G16" s="5" t="s">
        <v>218</v>
      </c>
      <c r="H16" s="10" t="s">
        <v>150</v>
      </c>
      <c r="I16" s="5" t="s">
        <v>29</v>
      </c>
    </row>
    <row r="17" customFormat="false" ht="23.25" hidden="false" customHeight="true" outlineLevel="0" collapsed="false">
      <c r="A17" s="5" t="n">
        <v>13</v>
      </c>
      <c r="B17" s="5" t="s">
        <v>44</v>
      </c>
      <c r="C17" s="5" t="s">
        <v>219</v>
      </c>
      <c r="D17" s="5" t="s">
        <v>220</v>
      </c>
      <c r="E17" s="5" t="s">
        <v>221</v>
      </c>
      <c r="F17" s="5" t="s">
        <v>222</v>
      </c>
      <c r="G17" s="5" t="s">
        <v>223</v>
      </c>
      <c r="H17" s="10" t="s">
        <v>150</v>
      </c>
      <c r="I17" s="5" t="s">
        <v>40</v>
      </c>
    </row>
    <row r="18" customFormat="false" ht="15" hidden="false" customHeight="true" outlineLevel="0" collapsed="false">
      <c r="A18" s="5" t="n">
        <v>14</v>
      </c>
      <c r="B18" s="5" t="s">
        <v>224</v>
      </c>
      <c r="C18" s="5" t="s">
        <v>225</v>
      </c>
      <c r="D18" s="5" t="s">
        <v>226</v>
      </c>
      <c r="E18" s="5" t="s">
        <v>227</v>
      </c>
      <c r="F18" s="5" t="s">
        <v>228</v>
      </c>
      <c r="G18" s="5" t="s">
        <v>126</v>
      </c>
      <c r="H18" s="5" t="s">
        <v>165</v>
      </c>
      <c r="I18" s="5" t="s">
        <v>229</v>
      </c>
    </row>
    <row r="19" customFormat="false" ht="23.25" hidden="false" customHeight="true" outlineLevel="0" collapsed="false">
      <c r="A19" s="5" t="n">
        <v>15</v>
      </c>
      <c r="B19" s="5" t="s">
        <v>230</v>
      </c>
      <c r="C19" s="5" t="s">
        <v>231</v>
      </c>
      <c r="D19" s="5" t="s">
        <v>232</v>
      </c>
      <c r="E19" s="5" t="s">
        <v>233</v>
      </c>
      <c r="F19" s="5" t="s">
        <v>234</v>
      </c>
      <c r="G19" s="5" t="s">
        <v>235</v>
      </c>
      <c r="H19" s="10" t="s">
        <v>150</v>
      </c>
      <c r="I19" s="5" t="s">
        <v>166</v>
      </c>
    </row>
    <row r="20" customFormat="false" ht="15" hidden="false" customHeight="true" outlineLevel="0" collapsed="false">
      <c r="A20" s="5" t="n">
        <v>16</v>
      </c>
      <c r="B20" s="5" t="s">
        <v>236</v>
      </c>
      <c r="C20" s="5" t="s">
        <v>237</v>
      </c>
      <c r="D20" s="5" t="s">
        <v>238</v>
      </c>
      <c r="E20" s="5" t="s">
        <v>239</v>
      </c>
      <c r="F20" s="5" t="s">
        <v>240</v>
      </c>
      <c r="G20" s="5" t="s">
        <v>241</v>
      </c>
      <c r="H20" s="5" t="s">
        <v>165</v>
      </c>
      <c r="I20" s="5" t="s">
        <v>166</v>
      </c>
    </row>
    <row r="21" customFormat="false" ht="23.25" hidden="false" customHeight="true" outlineLevel="0" collapsed="false">
      <c r="A21" s="5" t="n">
        <v>17</v>
      </c>
      <c r="B21" s="5" t="s">
        <v>242</v>
      </c>
      <c r="C21" s="5" t="s">
        <v>243</v>
      </c>
      <c r="D21" s="5" t="s">
        <v>244</v>
      </c>
      <c r="E21" s="5" t="s">
        <v>245</v>
      </c>
      <c r="F21" s="5" t="s">
        <v>246</v>
      </c>
      <c r="G21" s="5" t="s">
        <v>109</v>
      </c>
      <c r="H21" s="5" t="s">
        <v>165</v>
      </c>
      <c r="I21" s="5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7" min="7" style="0" width="32"/>
    <col collapsed="false" customWidth="true" hidden="false" outlineLevel="0" max="8" min="8" style="0" width="34"/>
    <col collapsed="false" customWidth="true" hidden="false" outlineLevel="0" max="9" min="9" style="0" width="36"/>
  </cols>
  <sheetData>
    <row r="1" customFormat="false" ht="17.35" hidden="false" customHeight="false" outlineLevel="0" collapsed="false">
      <c r="A1" s="11" t="s">
        <v>247</v>
      </c>
    </row>
    <row r="2" customFormat="false" ht="45" hidden="false" customHeight="true" outlineLevel="0" collapsed="false">
      <c r="A2" s="12" t="s">
        <v>248</v>
      </c>
      <c r="B2" s="12"/>
      <c r="C2" s="12"/>
      <c r="D2" s="12"/>
      <c r="E2" s="12"/>
      <c r="F2" s="12"/>
      <c r="G2" s="12"/>
      <c r="H2" s="12"/>
      <c r="I2" s="12"/>
    </row>
    <row r="4" customFormat="false" ht="31.5" hidden="false" customHeight="true" outlineLevel="0" collapsed="false">
      <c r="A4" s="4" t="s">
        <v>2</v>
      </c>
      <c r="B4" s="4" t="s">
        <v>249</v>
      </c>
      <c r="C4" s="4" t="s">
        <v>250</v>
      </c>
      <c r="D4" s="4" t="s">
        <v>5</v>
      </c>
      <c r="E4" s="4" t="s">
        <v>6</v>
      </c>
      <c r="F4" s="4" t="s">
        <v>251</v>
      </c>
      <c r="G4" s="4" t="s">
        <v>15</v>
      </c>
      <c r="H4" s="4" t="s">
        <v>252</v>
      </c>
      <c r="I4" s="4" t="s">
        <v>16</v>
      </c>
    </row>
    <row r="5" customFormat="false" ht="23.85" hidden="false" customHeight="false" outlineLevel="0" collapsed="false">
      <c r="A5" s="5" t="n">
        <v>1</v>
      </c>
      <c r="B5" s="5" t="s">
        <v>253</v>
      </c>
      <c r="C5" s="5" t="s">
        <v>254</v>
      </c>
      <c r="D5" s="5" t="n">
        <v>10</v>
      </c>
      <c r="E5" s="5" t="n">
        <v>20</v>
      </c>
      <c r="F5" s="5" t="s">
        <v>255</v>
      </c>
      <c r="G5" s="5" t="s">
        <v>256</v>
      </c>
      <c r="H5" s="5" t="s">
        <v>257</v>
      </c>
      <c r="I5" s="5" t="s">
        <v>258</v>
      </c>
    </row>
    <row r="6" customFormat="false" ht="23.85" hidden="false" customHeight="false" outlineLevel="0" collapsed="false">
      <c r="A6" s="5" t="n">
        <v>2</v>
      </c>
      <c r="B6" s="5" t="s">
        <v>259</v>
      </c>
      <c r="C6" s="5" t="s">
        <v>260</v>
      </c>
      <c r="D6" s="5" t="n">
        <v>10</v>
      </c>
      <c r="E6" s="5" t="n">
        <v>20</v>
      </c>
      <c r="F6" s="5" t="s">
        <v>255</v>
      </c>
      <c r="G6" s="5" t="s">
        <v>261</v>
      </c>
      <c r="H6" s="5" t="s">
        <v>262</v>
      </c>
      <c r="I6" s="5" t="s">
        <v>263</v>
      </c>
    </row>
    <row r="7" customFormat="false" ht="23.85" hidden="false" customHeight="false" outlineLevel="0" collapsed="false">
      <c r="A7" s="5" t="n">
        <v>3</v>
      </c>
      <c r="B7" s="5" t="s">
        <v>264</v>
      </c>
      <c r="C7" s="5" t="s">
        <v>265</v>
      </c>
      <c r="D7" s="5" t="n">
        <v>265</v>
      </c>
      <c r="E7" s="5" t="n">
        <v>530</v>
      </c>
      <c r="F7" s="5" t="s">
        <v>266</v>
      </c>
      <c r="G7" s="5" t="s">
        <v>267</v>
      </c>
      <c r="H7" s="5" t="s">
        <v>268</v>
      </c>
      <c r="I7" s="5" t="s">
        <v>269</v>
      </c>
    </row>
    <row r="8" customFormat="false" ht="23.85" hidden="false" customHeight="false" outlineLevel="0" collapsed="false">
      <c r="A8" s="5" t="n">
        <v>4</v>
      </c>
      <c r="B8" s="5" t="s">
        <v>270</v>
      </c>
      <c r="C8" s="5" t="s">
        <v>168</v>
      </c>
      <c r="D8" s="5" t="s">
        <v>271</v>
      </c>
      <c r="E8" s="5" t="s">
        <v>271</v>
      </c>
      <c r="F8" s="5" t="s">
        <v>272</v>
      </c>
      <c r="G8" s="5" t="s">
        <v>273</v>
      </c>
      <c r="H8" s="5" t="s">
        <v>274</v>
      </c>
      <c r="I8" s="5" t="s">
        <v>275</v>
      </c>
    </row>
    <row r="9" customFormat="false" ht="23.85" hidden="false" customHeight="false" outlineLevel="0" collapsed="false">
      <c r="A9" s="5" t="n">
        <v>5</v>
      </c>
      <c r="B9" s="5" t="s">
        <v>167</v>
      </c>
      <c r="C9" s="5" t="s">
        <v>168</v>
      </c>
      <c r="D9" s="5" t="s">
        <v>271</v>
      </c>
      <c r="E9" s="5" t="s">
        <v>271</v>
      </c>
      <c r="F9" s="5" t="s">
        <v>276</v>
      </c>
      <c r="G9" s="5" t="s">
        <v>277</v>
      </c>
      <c r="H9" s="5" t="s">
        <v>278</v>
      </c>
      <c r="I9" s="5" t="s">
        <v>279</v>
      </c>
    </row>
    <row r="10" customFormat="false" ht="23.85" hidden="false" customHeight="false" outlineLevel="0" collapsed="false">
      <c r="A10" s="5" t="n">
        <v>6</v>
      </c>
      <c r="B10" s="5" t="s">
        <v>190</v>
      </c>
      <c r="C10" s="5" t="s">
        <v>168</v>
      </c>
      <c r="D10" s="5" t="s">
        <v>271</v>
      </c>
      <c r="E10" s="5" t="s">
        <v>271</v>
      </c>
      <c r="F10" s="5" t="s">
        <v>280</v>
      </c>
      <c r="G10" s="5" t="s">
        <v>277</v>
      </c>
      <c r="H10" s="5" t="s">
        <v>195</v>
      </c>
      <c r="I10" s="5" t="s">
        <v>281</v>
      </c>
    </row>
    <row r="11" customFormat="false" ht="23.85" hidden="false" customHeight="false" outlineLevel="0" collapsed="false">
      <c r="A11" s="5" t="n">
        <v>7</v>
      </c>
      <c r="B11" s="5" t="s">
        <v>179</v>
      </c>
      <c r="C11" s="5" t="s">
        <v>168</v>
      </c>
      <c r="D11" s="5" t="s">
        <v>271</v>
      </c>
      <c r="E11" s="5" t="s">
        <v>271</v>
      </c>
      <c r="F11" s="5" t="s">
        <v>282</v>
      </c>
      <c r="G11" s="5" t="s">
        <v>277</v>
      </c>
      <c r="H11" s="5" t="s">
        <v>183</v>
      </c>
      <c r="I11" s="5" t="s">
        <v>283</v>
      </c>
    </row>
    <row r="12" customFormat="false" ht="15" hidden="false" customHeight="false" outlineLevel="0" collapsed="false">
      <c r="A12" s="5" t="n">
        <v>8</v>
      </c>
      <c r="B12" s="5" t="s">
        <v>185</v>
      </c>
      <c r="C12" s="5" t="s">
        <v>168</v>
      </c>
      <c r="D12" s="5" t="s">
        <v>271</v>
      </c>
      <c r="E12" s="5" t="s">
        <v>271</v>
      </c>
      <c r="F12" s="5" t="s">
        <v>186</v>
      </c>
      <c r="G12" s="5" t="s">
        <v>277</v>
      </c>
      <c r="H12" s="5" t="s">
        <v>189</v>
      </c>
      <c r="I12" s="5" t="s">
        <v>271</v>
      </c>
    </row>
    <row r="13" customFormat="false" ht="15" hidden="false" customHeight="false" outlineLevel="0" collapsed="false">
      <c r="A13" s="5" t="n">
        <v>9</v>
      </c>
      <c r="B13" s="5" t="s">
        <v>196</v>
      </c>
      <c r="C13" s="5" t="s">
        <v>168</v>
      </c>
      <c r="D13" s="5" t="s">
        <v>271</v>
      </c>
      <c r="E13" s="5" t="s">
        <v>271</v>
      </c>
      <c r="F13" s="5" t="s">
        <v>284</v>
      </c>
      <c r="G13" s="5" t="s">
        <v>277</v>
      </c>
      <c r="H13" s="5" t="s">
        <v>200</v>
      </c>
      <c r="I13" s="5" t="s">
        <v>285</v>
      </c>
    </row>
    <row r="14" customFormat="false" ht="35.05" hidden="false" customHeight="false" outlineLevel="0" collapsed="false">
      <c r="A14" s="5" t="n">
        <v>10</v>
      </c>
      <c r="B14" s="5" t="s">
        <v>286</v>
      </c>
      <c r="C14" s="5" t="s">
        <v>287</v>
      </c>
      <c r="D14" s="5" t="s">
        <v>271</v>
      </c>
      <c r="E14" s="5" t="s">
        <v>271</v>
      </c>
      <c r="F14" s="5" t="s">
        <v>288</v>
      </c>
      <c r="G14" s="5" t="s">
        <v>277</v>
      </c>
      <c r="H14" s="5" t="s">
        <v>289</v>
      </c>
      <c r="I14" s="5" t="s">
        <v>290</v>
      </c>
    </row>
    <row r="15" customFormat="false" ht="23.85" hidden="false" customHeight="false" outlineLevel="0" collapsed="false">
      <c r="A15" s="5" t="n">
        <v>11</v>
      </c>
      <c r="B15" s="5" t="s">
        <v>291</v>
      </c>
      <c r="C15" s="5" t="s">
        <v>292</v>
      </c>
      <c r="D15" s="5" t="s">
        <v>271</v>
      </c>
      <c r="E15" s="5" t="s">
        <v>271</v>
      </c>
      <c r="F15" s="5" t="s">
        <v>293</v>
      </c>
      <c r="G15" s="5" t="s">
        <v>277</v>
      </c>
      <c r="H15" s="5" t="s">
        <v>294</v>
      </c>
      <c r="I15" s="5" t="s">
        <v>295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110"/>
  </cols>
  <sheetData>
    <row r="1" customFormat="false" ht="17.25" hidden="false" customHeight="true" outlineLevel="0" collapsed="false">
      <c r="A1" s="2" t="s">
        <v>296</v>
      </c>
    </row>
    <row r="2" customFormat="false" ht="15" hidden="false" customHeight="true" outlineLevel="0" collapsed="false">
      <c r="A2" s="3" t="s">
        <v>297</v>
      </c>
    </row>
    <row r="4" customFormat="false" ht="31.5" hidden="false" customHeight="true" outlineLevel="0" collapsed="false">
      <c r="A4" s="4" t="s">
        <v>298</v>
      </c>
      <c r="B4" s="4" t="s">
        <v>299</v>
      </c>
      <c r="C4" s="4" t="s">
        <v>300</v>
      </c>
    </row>
    <row r="5" customFormat="false" ht="15" hidden="false" customHeight="true" outlineLevel="0" collapsed="false">
      <c r="A5" s="5" t="n">
        <v>1</v>
      </c>
      <c r="B5" s="5" t="s">
        <v>301</v>
      </c>
      <c r="C5" s="5" t="s">
        <v>302</v>
      </c>
    </row>
    <row r="6" customFormat="false" ht="23.25" hidden="false" customHeight="true" outlineLevel="0" collapsed="false">
      <c r="A6" s="5" t="n">
        <v>2</v>
      </c>
      <c r="B6" s="5" t="s">
        <v>303</v>
      </c>
      <c r="C6" s="5" t="s">
        <v>304</v>
      </c>
    </row>
    <row r="7" customFormat="false" ht="15" hidden="false" customHeight="true" outlineLevel="0" collapsed="false">
      <c r="A7" s="5" t="n">
        <v>3</v>
      </c>
      <c r="B7" s="5" t="s">
        <v>305</v>
      </c>
      <c r="C7" s="5" t="s">
        <v>306</v>
      </c>
    </row>
    <row r="8" customFormat="false" ht="15" hidden="false" customHeight="true" outlineLevel="0" collapsed="false">
      <c r="A8" s="5" t="n">
        <v>4</v>
      </c>
      <c r="B8" s="5" t="s">
        <v>307</v>
      </c>
      <c r="C8" s="5" t="s">
        <v>308</v>
      </c>
    </row>
    <row r="9" customFormat="false" ht="15" hidden="false" customHeight="true" outlineLevel="0" collapsed="false">
      <c r="A9" s="5" t="n">
        <v>5</v>
      </c>
      <c r="B9" s="5" t="s">
        <v>309</v>
      </c>
      <c r="C9" s="5" t="s">
        <v>310</v>
      </c>
    </row>
    <row r="10" customFormat="false" ht="15" hidden="false" customHeight="true" outlineLevel="0" collapsed="false">
      <c r="A10" s="5" t="n">
        <v>6</v>
      </c>
      <c r="B10" s="5" t="s">
        <v>311</v>
      </c>
      <c r="C10" s="5" t="s">
        <v>312</v>
      </c>
    </row>
    <row r="11" customFormat="false" ht="15" hidden="false" customHeight="true" outlineLevel="0" collapsed="false">
      <c r="A11" s="5" t="n">
        <v>7</v>
      </c>
      <c r="B11" s="5" t="s">
        <v>313</v>
      </c>
      <c r="C11" s="5" t="s">
        <v>314</v>
      </c>
    </row>
    <row r="12" customFormat="false" ht="23.25" hidden="false" customHeight="true" outlineLevel="0" collapsed="false">
      <c r="A12" s="5" t="n">
        <v>8</v>
      </c>
      <c r="B12" s="5" t="s">
        <v>315</v>
      </c>
      <c r="C12" s="5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20"/>
  </cols>
  <sheetData>
    <row r="1" customFormat="false" ht="17.25" hidden="false" customHeight="true" outlineLevel="0" collapsed="false">
      <c r="A1" s="2" t="s">
        <v>317</v>
      </c>
    </row>
    <row r="2" customFormat="false" ht="15" hidden="false" customHeight="true" outlineLevel="0" collapsed="false">
      <c r="A2" s="3" t="s">
        <v>318</v>
      </c>
    </row>
    <row r="4" customFormat="false" ht="31.5" hidden="false" customHeight="true" outlineLevel="0" collapsed="false">
      <c r="A4" s="4" t="s">
        <v>319</v>
      </c>
      <c r="B4" s="4" t="s">
        <v>320</v>
      </c>
    </row>
    <row r="5" customFormat="false" ht="15" hidden="false" customHeight="true" outlineLevel="0" collapsed="false">
      <c r="A5" s="5" t="s">
        <v>321</v>
      </c>
      <c r="B5" s="5" t="s">
        <v>322</v>
      </c>
    </row>
    <row r="6" customFormat="false" ht="15" hidden="false" customHeight="true" outlineLevel="0" collapsed="false">
      <c r="A6" s="5" t="s">
        <v>323</v>
      </c>
      <c r="B6" s="5" t="s">
        <v>324</v>
      </c>
    </row>
    <row r="7" customFormat="false" ht="15" hidden="false" customHeight="true" outlineLevel="0" collapsed="false">
      <c r="A7" s="5" t="s">
        <v>325</v>
      </c>
      <c r="B7" s="5" t="s">
        <v>326</v>
      </c>
    </row>
    <row r="8" customFormat="false" ht="15" hidden="false" customHeight="true" outlineLevel="0" collapsed="false">
      <c r="A8" s="5" t="s">
        <v>327</v>
      </c>
      <c r="B8" s="5" t="s">
        <v>328</v>
      </c>
    </row>
    <row r="9" customFormat="false" ht="15" hidden="false" customHeight="true" outlineLevel="0" collapsed="false">
      <c r="A9" s="5" t="s">
        <v>329</v>
      </c>
      <c r="B9" s="5" t="s">
        <v>330</v>
      </c>
    </row>
    <row r="10" customFormat="false" ht="15" hidden="false" customHeight="true" outlineLevel="0" collapsed="false">
      <c r="A10" s="5" t="s">
        <v>331</v>
      </c>
      <c r="B10" s="5" t="s">
        <v>332</v>
      </c>
    </row>
    <row r="11" customFormat="false" ht="15" hidden="false" customHeight="true" outlineLevel="0" collapsed="false">
      <c r="A11" s="5" t="s">
        <v>333</v>
      </c>
      <c r="B11" s="5" t="s">
        <v>334</v>
      </c>
    </row>
    <row r="12" customFormat="false" ht="15" hidden="false" customHeight="true" outlineLevel="0" collapsed="false">
      <c r="A12" s="5" t="s">
        <v>335</v>
      </c>
      <c r="B12" s="5" t="s">
        <v>336</v>
      </c>
    </row>
    <row r="13" customFormat="false" ht="15" hidden="false" customHeight="true" outlineLevel="0" collapsed="false">
      <c r="A13" s="5" t="s">
        <v>337</v>
      </c>
      <c r="B13" s="5" t="s">
        <v>338</v>
      </c>
    </row>
    <row r="14" customFormat="false" ht="15" hidden="false" customHeight="true" outlineLevel="0" collapsed="false">
      <c r="A14" s="5" t="s">
        <v>339</v>
      </c>
      <c r="B14" s="5" t="s">
        <v>340</v>
      </c>
    </row>
    <row r="15" customFormat="false" ht="15" hidden="false" customHeight="true" outlineLevel="0" collapsed="false">
      <c r="A15" s="5" t="s">
        <v>341</v>
      </c>
      <c r="B15" s="5" t="s">
        <v>342</v>
      </c>
    </row>
    <row r="16" customFormat="false" ht="15" hidden="false" customHeight="true" outlineLevel="0" collapsed="false">
      <c r="A16" s="5" t="s">
        <v>343</v>
      </c>
      <c r="B16" s="5" t="s">
        <v>344</v>
      </c>
    </row>
    <row r="17" customFormat="false" ht="15" hidden="false" customHeight="true" outlineLevel="0" collapsed="false">
      <c r="A17" s="5" t="s">
        <v>345</v>
      </c>
      <c r="B17" s="5" t="s">
        <v>346</v>
      </c>
    </row>
    <row r="18" customFormat="false" ht="15" hidden="false" customHeight="true" outlineLevel="0" collapsed="false">
      <c r="A18" s="5" t="s">
        <v>347</v>
      </c>
      <c r="B18" s="5" t="s">
        <v>348</v>
      </c>
    </row>
    <row r="19" customFormat="false" ht="15" hidden="false" customHeight="true" outlineLevel="0" collapsed="false">
      <c r="A19" s="5" t="s">
        <v>349</v>
      </c>
      <c r="B19" s="5" t="s">
        <v>350</v>
      </c>
    </row>
    <row r="20" customFormat="false" ht="23.25" hidden="false" customHeight="true" outlineLevel="0" collapsed="false">
      <c r="A20" s="5" t="s">
        <v>351</v>
      </c>
      <c r="B20" s="5" t="s">
        <v>352</v>
      </c>
    </row>
    <row r="21" customFormat="false" ht="15" hidden="false" customHeight="true" outlineLevel="0" collapsed="false">
      <c r="A21" s="5" t="s">
        <v>353</v>
      </c>
      <c r="B21" s="5" t="s">
        <v>354</v>
      </c>
    </row>
    <row r="22" customFormat="false" ht="15" hidden="false" customHeight="true" outlineLevel="0" collapsed="false">
      <c r="A22" s="5" t="s">
        <v>355</v>
      </c>
      <c r="B22" s="5" t="s">
        <v>356</v>
      </c>
    </row>
    <row r="23" customFormat="false" ht="15" hidden="false" customHeight="true" outlineLevel="0" collapsed="false">
      <c r="A23" s="5" t="s">
        <v>357</v>
      </c>
      <c r="B23" s="5" t="s">
        <v>358</v>
      </c>
    </row>
    <row r="24" customFormat="false" ht="15" hidden="false" customHeight="true" outlineLevel="0" collapsed="false">
      <c r="A24" s="5" t="s">
        <v>359</v>
      </c>
      <c r="B24" s="5" t="s">
        <v>360</v>
      </c>
    </row>
    <row r="25" customFormat="false" ht="15" hidden="false" customHeight="true" outlineLevel="0" collapsed="false">
      <c r="A25" s="5" t="s">
        <v>361</v>
      </c>
      <c r="B25" s="5" t="s">
        <v>362</v>
      </c>
    </row>
    <row r="26" customFormat="false" ht="15" hidden="false" customHeight="true" outlineLevel="0" collapsed="false">
      <c r="A26" s="5" t="s">
        <v>363</v>
      </c>
      <c r="B26" s="5" t="s">
        <v>364</v>
      </c>
    </row>
    <row r="27" customFormat="false" ht="15" hidden="false" customHeight="true" outlineLevel="0" collapsed="false">
      <c r="A27" s="5" t="s">
        <v>365</v>
      </c>
      <c r="B27" s="5" t="s">
        <v>366</v>
      </c>
    </row>
    <row r="28" customFormat="false" ht="15" hidden="false" customHeight="false" outlineLevel="0" collapsed="false">
      <c r="A28" s="13" t="s">
        <v>367</v>
      </c>
      <c r="B28" s="13" t="s">
        <v>368</v>
      </c>
    </row>
    <row r="29" customFormat="false" ht="15" hidden="false" customHeight="false" outlineLevel="0" collapsed="false">
      <c r="A29" s="13" t="s">
        <v>369</v>
      </c>
      <c r="B29" s="13" t="s">
        <v>370</v>
      </c>
    </row>
    <row r="30" customFormat="false" ht="15" hidden="false" customHeight="false" outlineLevel="0" collapsed="false">
      <c r="A30" s="13" t="s">
        <v>371</v>
      </c>
      <c r="B30" s="13" t="s">
        <v>372</v>
      </c>
    </row>
    <row r="31" customFormat="false" ht="15" hidden="false" customHeight="false" outlineLevel="0" collapsed="false">
      <c r="A31" s="13" t="s">
        <v>373</v>
      </c>
      <c r="B31" s="13" t="s">
        <v>374</v>
      </c>
    </row>
    <row r="32" customFormat="false" ht="15" hidden="false" customHeight="false" outlineLevel="0" collapsed="false">
      <c r="A32" s="13" t="s">
        <v>375</v>
      </c>
      <c r="B32" s="13" t="s">
        <v>376</v>
      </c>
    </row>
    <row r="33" customFormat="false" ht="15" hidden="false" customHeight="false" outlineLevel="0" collapsed="false">
      <c r="A33" s="13" t="s">
        <v>377</v>
      </c>
      <c r="B33" s="13" t="s">
        <v>378</v>
      </c>
    </row>
    <row r="34" customFormat="false" ht="15" hidden="false" customHeight="false" outlineLevel="0" collapsed="false">
      <c r="A34" s="13" t="s">
        <v>379</v>
      </c>
      <c r="B34" s="13" t="s">
        <v>380</v>
      </c>
    </row>
    <row r="35" customFormat="false" ht="15" hidden="false" customHeight="false" outlineLevel="0" collapsed="false">
      <c r="A35" s="13" t="s">
        <v>381</v>
      </c>
      <c r="B35" s="13" t="s">
        <v>382</v>
      </c>
    </row>
    <row r="36" customFormat="false" ht="15" hidden="false" customHeight="false" outlineLevel="0" collapsed="false">
      <c r="A36" s="13" t="s">
        <v>383</v>
      </c>
      <c r="B36" s="13" t="s">
        <v>384</v>
      </c>
    </row>
    <row r="37" customFormat="false" ht="15" hidden="false" customHeight="false" outlineLevel="0" collapsed="false">
      <c r="A37" s="13" t="s">
        <v>385</v>
      </c>
      <c r="B37" s="13" t="s">
        <v>386</v>
      </c>
    </row>
    <row r="38" customFormat="false" ht="15" hidden="false" customHeight="false" outlineLevel="0" collapsed="false">
      <c r="A38" s="13" t="s">
        <v>387</v>
      </c>
      <c r="B38" s="13" t="s">
        <v>388</v>
      </c>
    </row>
    <row r="39" customFormat="false" ht="15" hidden="false" customHeight="false" outlineLevel="0" collapsed="false">
      <c r="A39" s="13" t="s">
        <v>389</v>
      </c>
      <c r="B39" s="13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2026-10-30T09:41:57Z</dcterms:created>
  <dc:creator>openpyxl</dc:creator>
  <dc:description/>
  <dc:language>en-US</dc:language>
  <cp:lastModifiedBy/>
  <dcterms:modified xsi:type="dcterms:W3CDTF">2026-10-30T15:54:51Z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