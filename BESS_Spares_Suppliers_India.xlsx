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S Components" sheetId="1" state="visible" r:id="rId3"/>
    <sheet name="O&amp;M Critical Spares" sheetId="2" state="visible" r:id="rId4"/>
    <sheet name="BESS Makers India" sheetId="3" state="visible" r:id="rId5"/>
    <sheet name="Make vs Buy" sheetId="4" state="visible" r:id="rId6"/>
    <sheet name="Capex Benchmarks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<sst xmlns="http://schemas.openxmlformats.org/spreadsheetml/2006/main" count="707" uniqueCount="543">
  <si>
    <t xml:space="preserve">BESS Balance-of-System Components (excluding battery cells) — Cost, Sizing, Unit, Suppliers</t>
  </si>
  <si>
    <t xml:space="preserve">Reference project for cost roll-up: 100 MW / 400 MWh utility-scale LFP BESS, ~80 x 20-ft containers (~5 MWh each), 33 kV grid. Blue = editable input (estimate). Black = formula.</t>
  </si>
  <si>
    <t xml:space="preserve">#</t>
  </si>
  <si>
    <t xml:space="preserve">Component / Spare</t>
  </si>
  <si>
    <t xml:space="preserve">Function</t>
  </si>
  <si>
    <t xml:space="preserve">Capacity / sizing criteria</t>
  </si>
  <si>
    <t xml:space="preserve">Measurement unit (costing basis)</t>
  </si>
  <si>
    <t xml:space="preserve">Unit cost LOW (₹)</t>
  </si>
  <si>
    <t xml:space="preserve">Unit cost HIGH (₹)</t>
  </si>
  <si>
    <t xml:space="preserve">Qty for ref. project</t>
  </si>
  <si>
    <t xml:space="preserve">Ref. project cost LOW (₹ Cr)</t>
  </si>
  <si>
    <t xml:space="preserve">Ref. project cost HIGH (₹ Cr)</t>
  </si>
  <si>
    <t xml:space="preserve">Mid (₹ Cr)</t>
  </si>
  <si>
    <t xml:space="preserve">Share of BoS (mid)</t>
  </si>
  <si>
    <t xml:space="preserve">Leading suppliers in India (Indian + global with Indian presence)</t>
  </si>
  <si>
    <t xml:space="preserve">Typically outsourced by BESS integrator?</t>
  </si>
  <si>
    <t xml:space="preserve">Source IDs / basis</t>
  </si>
  <si>
    <t xml:space="preserve">Power Conversion System (PCS) – bi-directional inverter</t>
  </si>
  <si>
    <t xml:space="preserve">DC↔AC conversion for charge/discharge; grid-following or grid-forming</t>
  </si>
  <si>
    <t xml:space="preserve">Sized to MW rating (≈1.0–1.1× MVA of BESS power); efficiency ≥98%; DC window 1000–1500 V; parallel-able units (e.g., 1.1 MW blocks)</t>
  </si>
  <si>
    <t xml:space="preserve">₹ per kW</t>
  </si>
  <si>
    <t xml:space="preserve">Delta Electronics India (Krishnagiri, TN), Sungrow, Power Electronics, Hitachi Energy India, SMA, Statcon Energiaa, Servotech, Pace Digitek (in-house), Sineng, Kehua</t>
  </si>
  <si>
    <t xml:space="preserve">Mostly outsourced</t>
  </si>
  <si>
    <t xml:space="preserve">S1, S3, S4, S5, S7</t>
  </si>
  <si>
    <t xml:space="preserve">Inverter-duty / MV step-up transformer (LV 690 V → 11/33 kV)</t>
  </si>
  <si>
    <t xml:space="preserve">Steps PCS output up to MV; handles harmonics &amp; cyclic loading</t>
  </si>
  <si>
    <t xml:space="preserve">Rated MVA ≥ PCS MVA; inverter-duty design (harmonics, fast switching); ONAN oil or dry type; % impedance, losses (no-load / load) per IS 1180 / IEC 60076</t>
  </si>
  <si>
    <t xml:space="preserve">₹ per MVA</t>
  </si>
  <si>
    <t xml:space="preserve">Hitachi Energy India, Siemens Energy, Waaree Transpower (8.3 MVA BESS MV skids), Toshiba T&amp;D India, CG Power, Voltamp, Schneider Electric</t>
  </si>
  <si>
    <t xml:space="preserve">Outsourced</t>
  </si>
  <si>
    <t xml:space="preserve">S8, S9, S10, S16</t>
  </si>
  <si>
    <t xml:space="preserve">MV switchgear / RMU (11/33 kV)</t>
  </si>
  <si>
    <t xml:space="preserve">Protection, isolation of each PCS–transformer block</t>
  </si>
  <si>
    <t xml:space="preserve">Rated voltage (12/36 kV), rated current (630–1250 A), short-circuit rating (20–25 kA, 1–3 s), SF6 or vacuum, IEC 62271</t>
  </si>
  <si>
    <t xml:space="preserve">₹ per panel</t>
  </si>
  <si>
    <t xml:space="preserve">Schneider Electric, Siemens, ABB, Lauritz Knudsen (ex-L&amp;T E&amp;A), Hitachi Energy, Lucy Electric</t>
  </si>
  <si>
    <t xml:space="preserve">S9, S16</t>
  </si>
  <si>
    <t xml:space="preserve">HV pooling transformer &amp; substation (33/132–220 kV) – project-specific</t>
  </si>
  <si>
    <t xml:space="preserve">Connects BESS to transmission grid</t>
  </si>
  <si>
    <t xml:space="preserve">MVA ≥ plant export capacity; voltage per connection point (66/110/132/220 kV); only if metering is on HV side</t>
  </si>
  <si>
    <t xml:space="preserve">Hitachi Energy India, Siemens Energy, CG Power, BHEL, Toshiba T&amp;D, GE Vernova T&amp;D India</t>
  </si>
  <si>
    <t xml:space="preserve">Outsourced (EPC scope)</t>
  </si>
  <si>
    <t xml:space="preserve">S8, S9</t>
  </si>
  <si>
    <t xml:space="preserve">BESS container / enclosure (shell only)</t>
  </si>
  <si>
    <t xml:space="preserve">Houses racks, HVAC, FSS; IP54/55, C4/C5 anti-corrosion</t>
  </si>
  <si>
    <t xml:space="preserve">Size (10/20/40 ft); energy per container (2.5–6 MWh in 20 ft); IP rating; insulation; structural &amp; seismic load; explosion venting (NFPA 68/69)</t>
  </si>
  <si>
    <t xml:space="preserve">₹ per container</t>
  </si>
  <si>
    <t xml:space="preserve">DCM Containers (DCM Hyundai), Waaree ESS (in-house), Jupiter Electric Mobility (in-house), Pace Digitek/Lineage Power (in-house), CIMC (China)</t>
  </si>
  <si>
    <t xml:space="preserve">Mixed (shell outsourced; integration in-house)</t>
  </si>
  <si>
    <t xml:space="preserve">S11, S12, S13, S14, S16</t>
  </si>
  <si>
    <t xml:space="preserve">Battery racks, busbars &amp; HV box / battery protection unit (BPU)</t>
  </si>
  <si>
    <t xml:space="preserve">Mechanical support; DC collection; rack-level fuse, contactor, pre-charge, isolation</t>
  </si>
  <si>
    <t xml:space="preserve">Rack voltage (1000–1500 V DC), current rating, number of modules per rack, fuse I²t, contactor breaking capacity</t>
  </si>
  <si>
    <t xml:space="preserve">Racks: local sheet-metal vendors; contactors: Sensata-GIGAVAC, TE Connectivity, Hongfa; fuses: Mersen, Eaton Bussmann, Littelfuse</t>
  </si>
  <si>
    <t xml:space="preserve">Mixed (racks in-house/local; switching parts imported)</t>
  </si>
  <si>
    <t xml:space="preserve">S16, estimate</t>
  </si>
  <si>
    <t xml:space="preserve">Battery Management System (BMS – cell/module, rack, system tiers)</t>
  </si>
  <si>
    <t xml:space="preserve">Cell monitoring, balancing, SoC/SoH, protection</t>
  </si>
  <si>
    <t xml:space="preserve">No. of cells monitored, voltage accuracy (±1–3 mV), temperature channels, balancing current, comms (CAN/Modbus), functional safety</t>
  </si>
  <si>
    <t xml:space="preserve">₹ per kWh</t>
  </si>
  <si>
    <t xml:space="preserve">Usually bundled with cell/DC block supplier (CATL, BYD, Hithium, EVE, REPT); Indian: Powertrac (in-house BMS), Trontek, Exide, Amara Raja, Replus, Nuvation/Sensata</t>
  </si>
  <si>
    <t xml:space="preserve">Mostly outsourced (with DC block)</t>
  </si>
  <si>
    <t xml:space="preserve">S2, S6, S15, S17</t>
  </si>
  <si>
    <t xml:space="preserve">Thermal management – liquid chiller / HVAC</t>
  </si>
  <si>
    <t xml:space="preserve">Keeps cells in 15–35 °C band; India ambient up to 45–55 °C</t>
  </si>
  <si>
    <t xml:space="preserve">Cooling capacity (kW or TR) per container (~30–50 kW per 5 MWh); liquid vs air; coolant (glycol); COP; ambient rating; aux power draw</t>
  </si>
  <si>
    <t xml:space="preserve">₹ per unit (per container)</t>
  </si>
  <si>
    <t xml:space="preserve">Envicool, Tongfei (China – dominant in DC blocks), Pfannenberg, Rittal; Indian HVAC majors (Blue Star, Voltas) – BESS-specific supply to be verified</t>
  </si>
  <si>
    <t xml:space="preserve">S6, S18, S19, S20</t>
  </si>
  <si>
    <t xml:space="preserve">Fire detection &amp; suppression system (FDSS)</t>
  </si>
  <si>
    <t xml:space="preserve">Detects off-gas/smoke/heat; suppresses fire; prevents propagation</t>
  </si>
  <si>
    <t xml:space="preserve">Agent type (aerosol / Novec 1230 / FM-200 / water mist); agent mass per m³; detectors (H₂, CO, VOC, smoke, heat); NFPA 855 / UL 9540A compliance</t>
  </si>
  <si>
    <t xml:space="preserve">Swastik Synergy Engineering (Khopoli), Fire Engineering Technology (Delhi), Minimax, Kidde (Carrier), Ceasefire, DSPA, Stat-X, Jiandun (China)</t>
  </si>
  <si>
    <t xml:space="preserve">S6, S21, S22, S23, S24</t>
  </si>
  <si>
    <t xml:space="preserve">DC combiner / DC distribution panel (DCDB)</t>
  </si>
  <si>
    <t xml:space="preserve">Combines racks; DC isolation &amp; protection towards PCS</t>
  </si>
  <si>
    <t xml:space="preserve">Rated DC voltage (1500 V), current per input, no. of inputs, fuse/MCCB rating, IP rating</t>
  </si>
  <si>
    <t xml:space="preserve">ABB, Siemens, Schneider, Lauritz Knudsen, Mersen, Eaton, Havells; local panel builders</t>
  </si>
  <si>
    <t xml:space="preserve">S4, S16</t>
  </si>
  <si>
    <t xml:space="preserve">LV AC panel / ACDB (ACB, MCCB)</t>
  </si>
  <si>
    <t xml:space="preserve">AC-side protection between PCS and transformer</t>
  </si>
  <si>
    <t xml:space="preserve">Rated current (A), breaking capacity (kA), voltage (690 V), IP rating</t>
  </si>
  <si>
    <t xml:space="preserve">₹ per PCS block</t>
  </si>
  <si>
    <t xml:space="preserve">Lauritz Knudsen, Schneider, Siemens, ABB, Havells, C&amp;S Electric</t>
  </si>
  <si>
    <t xml:space="preserve">Auxiliary transformer, aux panel &amp; UPS</t>
  </si>
  <si>
    <t xml:space="preserve">Powers HVAC, BMS, FSS, lighting, controls</t>
  </si>
  <si>
    <t xml:space="preserve">Aux load (kVA) ≈ HVAC + controls; UPS backup (min) for controls/FSS</t>
  </si>
  <si>
    <t xml:space="preserve">Voltamp, CG Power, Schneider (APC), Vertiv, Delta, Numeric</t>
  </si>
  <si>
    <t xml:space="preserve">Power &amp; control cables (DC, LV AC, MV, comms, fibre)</t>
  </si>
  <si>
    <t xml:space="preserve">Interconnects all equipment</t>
  </si>
  <si>
    <t xml:space="preserve">Cross-section (mm²) by current &amp; voltage drop; voltage grade (1.5 kV DC, 1.1 kV AC, 33 kV XLPE); fire rating (FRLS)</t>
  </si>
  <si>
    <t xml:space="preserve">₹ per MW (rolled-up); purchased in running metres</t>
  </si>
  <si>
    <t xml:space="preserve">Polycab, KEI Industries, Apar Industries, RR Kabel, Havells, Universal Cables</t>
  </si>
  <si>
    <t xml:space="preserve">Energy Management System (EMS) + SCADA + Power Plant Controller</t>
  </si>
  <si>
    <t xml:space="preserve">Dispatch optimisation, grid compliance, monitoring</t>
  </si>
  <si>
    <t xml:space="preserve">No. of I/O points, response time (ms) for frequency services, protocols (IEC 61850, Modbus, IEC 104), cybersecurity; design life 6–8 yrs</t>
  </si>
  <si>
    <t xml:space="preserve">₹ per site</t>
  </si>
  <si>
    <t xml:space="preserve">Adaptive Engineering, AmpereHour Energy, Delta, Pace Digitek, Siemens, Hitachi Energy, Sungrow; also integrator in-house</t>
  </si>
  <si>
    <t xml:space="preserve">Mixed</t>
  </si>
  <si>
    <t xml:space="preserve">S1, S2, S7, S25, S26</t>
  </si>
  <si>
    <t xml:space="preserve">Communication network, CCTV &amp; security</t>
  </si>
  <si>
    <t xml:space="preserve">Data backbone, site security</t>
  </si>
  <si>
    <t xml:space="preserve">No. of nodes, managed switches, fibre ring redundancy, cyber standards (IEC 62443)</t>
  </si>
  <si>
    <t xml:space="preserve">Moxa, Hirschmann (Belden), Siemens RUGGEDCOM, Cisco, CP Plus/Hikvision (CCTV)</t>
  </si>
  <si>
    <t xml:space="preserve">estimate</t>
  </si>
  <si>
    <t xml:space="preserve">Earthing &amp; lightning protection</t>
  </si>
  <si>
    <t xml:space="preserve">Personnel &amp; equipment safety</t>
  </si>
  <si>
    <t xml:space="preserve">Earth resistance (&lt;1 Ω), soil resistivity, lightning risk per IEC 62305</t>
  </si>
  <si>
    <t xml:space="preserve">₹ per MW</t>
  </si>
  <si>
    <t xml:space="preserve">DEHN, OBO Bettermann, Phoenix Contact, JMV LPS, local EPC</t>
  </si>
  <si>
    <t xml:space="preserve">Revenue / ABT metering &amp; power-quality meters</t>
  </si>
  <si>
    <t xml:space="preserve">Billing &amp; grid-code compliance</t>
  </si>
  <si>
    <t xml:space="preserve">Accuracy class 0.2S, CEA metering regulations, PQ (harmonics, flicker)</t>
  </si>
  <si>
    <t xml:space="preserve">Secure Meters, Lauritz Knudsen, Schneider, Elster/Honeywell</t>
  </si>
  <si>
    <t xml:space="preserve">TOTAL BoS hardware (ex-cells, ex-civil, ex-EPC)</t>
  </si>
  <si>
    <t xml:space="preserve">BoS mid as ₹ lakh per MWh</t>
  </si>
  <si>
    <t xml:space="preserve">Notes:</t>
  </si>
  <si>
    <t xml:space="preserve">1) Unit costs are Claude's estimates (Oct-2026) triangulated from cited benchmarks (Ember $75/kWh core equipment with PCS+EMS ≈10%; Indian deck: inverters+transformers 12–20% of capex, EMS ≤3%; PL Capital: containerisation ≈10% of capex). Validate with vendor RFQs before use in a should-cost model.</t>
  </si>
  <si>
    <t xml:space="preserve">2) Cross-check: Ember puts all-in BESS at ~$125/kWh (≈₹440 Cr for 400 MWh at ₹88/$); cells ≈55% of BESS cost (Saur Energy). BoS hardware above should land at roughly 17–30% of all-in capex.</t>
  </si>
  <si>
    <t xml:space="preserve">3) Power-sized items (PCS, transformer, switchgear) scale with MW; energy-sized items (containers, BMS, HVAC, FSS) scale with MWh — so ₹/kWh for BoS falls as duration rises (Ember: 4-h projects 10–15% cheaper per kWh).</t>
  </si>
  <si>
    <t xml:space="preserve">4) Civil works, land, grid connection charges, EPC margin and the battery cells/DC modules themselves are excluded.</t>
  </si>
  <si>
    <t xml:space="preserve">Chart x-axis numbers = component # in column A</t>
  </si>
  <si>
    <t xml:space="preserve">BESS O&amp;M Critical / Mandatory Spares (non-battery) — what to stock on site</t>
  </si>
  <si>
    <t xml:space="preserve">Indicative. SECI/utility tenders carry a mandatory spares list in the price schedule (S16). Cost per piece = Claude estimate unless sourced.</t>
  </si>
  <si>
    <t xml:space="preserve">Spare part</t>
  </si>
  <si>
    <t xml:space="preserve">Parent system</t>
  </si>
  <si>
    <t xml:space="preserve">Selection / rating criteria</t>
  </si>
  <si>
    <t xml:space="preserve">Unit of measure</t>
  </si>
  <si>
    <t xml:space="preserve">Indicative cost LOW (₹/unit)</t>
  </si>
  <si>
    <t xml:space="preserve">Indicative cost HIGH (₹/unit)</t>
  </si>
  <si>
    <t xml:space="preserve">Typical stock norm</t>
  </si>
  <si>
    <t xml:space="preserve">Leading makes (available in India)</t>
  </si>
  <si>
    <t xml:space="preserve">Imported or local</t>
  </si>
  <si>
    <t xml:space="preserve">Source</t>
  </si>
  <si>
    <t xml:space="preserve">IGBT power module / stack</t>
  </si>
  <si>
    <t xml:space="preserve">PCS</t>
  </si>
  <si>
    <t xml:space="preserve">Voltage class (1700 V), current (A), same make/part no. as PCS</t>
  </si>
  <si>
    <t xml:space="preserve">Nos</t>
  </si>
  <si>
    <t xml:space="preserve">1–2 stacks per 10 PCS</t>
  </si>
  <si>
    <t xml:space="preserve">Infineon, Semikron Danfoss, Mitsubishi Electric, Fuji Electric</t>
  </si>
  <si>
    <t xml:space="preserve">Imported</t>
  </si>
  <si>
    <t xml:space="preserve">PCS cooling fans</t>
  </si>
  <si>
    <t xml:space="preserve">Airflow (m³/h), voltage, IP rating</t>
  </si>
  <si>
    <t xml:space="preserve">5–10% of installed</t>
  </si>
  <si>
    <t xml:space="preserve">ebm-papst, Delta, Sanyo Denki</t>
  </si>
  <si>
    <t xml:space="preserve">PCS control / driver PCB</t>
  </si>
  <si>
    <t xml:space="preserve">OEM-specific board revision</t>
  </si>
  <si>
    <t xml:space="preserve">1 set per site</t>
  </si>
  <si>
    <t xml:space="preserve">PCS OEM only (Delta, Sungrow, etc.)</t>
  </si>
  <si>
    <t xml:space="preserve">Imported/OEM</t>
  </si>
  <si>
    <t xml:space="preserve">DC fuses (high-speed, 1500 V)</t>
  </si>
  <si>
    <t xml:space="preserve">Racks / DCDB</t>
  </si>
  <si>
    <t xml:space="preserve">Rated V DC, I rating, I²t, breaking capacity</t>
  </si>
  <si>
    <t xml:space="preserve">10% of installed</t>
  </si>
  <si>
    <t xml:space="preserve">Mersen, Eaton Bussmann, Littelfuse, SIBA</t>
  </si>
  <si>
    <t xml:space="preserve">DC main contactor / pre-charge relay</t>
  </si>
  <si>
    <t xml:space="preserve">HV box (BPU)</t>
  </si>
  <si>
    <t xml:space="preserve">Rated V/A, DC breaking capacity, coil voltage</t>
  </si>
  <si>
    <t xml:space="preserve">5% of installed</t>
  </si>
  <si>
    <t xml:space="preserve">Sensata-GIGAVAC, TE Connectivity, Hongfa, Panasonic</t>
  </si>
  <si>
    <t xml:space="preserve">BMS slave board (BMU/CSC) &amp; rack master (BCU)</t>
  </si>
  <si>
    <t xml:space="preserve">BMS</t>
  </si>
  <si>
    <t xml:space="preserve">OEM part no.; firmware compatibility</t>
  </si>
  <si>
    <t xml:space="preserve">2–5% of installed</t>
  </si>
  <si>
    <t xml:space="preserve">DC block / BMS OEM</t>
  </si>
  <si>
    <t xml:space="preserve">Temperature / voltage sensing harness</t>
  </si>
  <si>
    <t xml:space="preserve">OEM-specific</t>
  </si>
  <si>
    <t xml:space="preserve">Set</t>
  </si>
  <si>
    <t xml:space="preserve">DC block OEM</t>
  </si>
  <si>
    <t xml:space="preserve">Chiller compressor / pump</t>
  </si>
  <si>
    <t xml:space="preserve">Thermal mgmt</t>
  </si>
  <si>
    <t xml:space="preserve">Same model as installed chiller</t>
  </si>
  <si>
    <t xml:space="preserve">1 per 10–20 chillers</t>
  </si>
  <si>
    <t xml:space="preserve">Envicool, Tongfei, Pfannenberg; compressors: Copeland, Danfoss</t>
  </si>
  <si>
    <t xml:space="preserve">Coolant (ethylene/propylene glycol 50%)</t>
  </si>
  <si>
    <t xml:space="preserve">Spec per OEM, conductivity limits</t>
  </si>
  <si>
    <t xml:space="preserve">Litre</t>
  </si>
  <si>
    <t xml:space="preserve">10–20% of system fill</t>
  </si>
  <si>
    <t xml:space="preserve">Shell, Castrol, Dow, local blenders</t>
  </si>
  <si>
    <t xml:space="preserve">Local</t>
  </si>
  <si>
    <t xml:space="preserve">HVAC air filters</t>
  </si>
  <si>
    <t xml:space="preserve">Thermal mgmt / container</t>
  </si>
  <si>
    <t xml:space="preserve">Filter class (G4/F7), size</t>
  </si>
  <si>
    <t xml:space="preserve">1 full replacement set</t>
  </si>
  <si>
    <t xml:space="preserve">Local / OEM</t>
  </si>
  <si>
    <t xml:space="preserve">Aerosol / clean-agent cartridge</t>
  </si>
  <si>
    <t xml:space="preserve">Fire suppression</t>
  </si>
  <si>
    <t xml:space="preserve">Agent mass (kg) per m³, UL listing</t>
  </si>
  <si>
    <t xml:space="preserve">Nos / kg</t>
  </si>
  <si>
    <t xml:space="preserve">1 container-set</t>
  </si>
  <si>
    <t xml:space="preserve">Fire Engineering Technology (₹59,000/pc listed), SSE, DSPA, Stat-X</t>
  </si>
  <si>
    <t xml:space="preserve">Local/Imported</t>
  </si>
  <si>
    <t xml:space="preserve">S21, S24</t>
  </si>
  <si>
    <t xml:space="preserve">Gas (H₂/CO) &amp; smoke/heat detectors</t>
  </si>
  <si>
    <t xml:space="preserve">Fire detection</t>
  </si>
  <si>
    <t xml:space="preserve">Gas type, ppm range, certification</t>
  </si>
  <si>
    <t xml:space="preserve">Honeywell, Dräger, Bosch, Notifier, Siemens</t>
  </si>
  <si>
    <t xml:space="preserve">Surge protection device (SPD) cartridges</t>
  </si>
  <si>
    <t xml:space="preserve">DCDB / ACDB</t>
  </si>
  <si>
    <t xml:space="preserve">Type 1/2, Uc, Imax</t>
  </si>
  <si>
    <t xml:space="preserve">Phoenix Contact, DEHN, OBO, ABB</t>
  </si>
  <si>
    <t xml:space="preserve">ACB / MCCB trip unit &amp; spare breaker</t>
  </si>
  <si>
    <t xml:space="preserve">ACDB / aux</t>
  </si>
  <si>
    <t xml:space="preserve">Frame size (A), kA rating</t>
  </si>
  <si>
    <t xml:space="preserve">1 per type</t>
  </si>
  <si>
    <t xml:space="preserve">Lauritz Knudsen, Schneider, Siemens, ABB</t>
  </si>
  <si>
    <t xml:space="preserve">MV RMU spares (VCB trolley, relay, CTs)</t>
  </si>
  <si>
    <t xml:space="preserve">MV switchgear</t>
  </si>
  <si>
    <t xml:space="preserve">Same make; relay settings</t>
  </si>
  <si>
    <t xml:space="preserve">Schneider, Siemens, ABB, Lauritz Knudsen</t>
  </si>
  <si>
    <t xml:space="preserve">Transformer spares (bushings, OTI/WTI, Buchholz, gaskets)</t>
  </si>
  <si>
    <t xml:space="preserve">MV/HV transformer</t>
  </si>
  <si>
    <t xml:space="preserve">Same make/rating</t>
  </si>
  <si>
    <t xml:space="preserve">1 set per rating</t>
  </si>
  <si>
    <t xml:space="preserve">Transformer OEM; CG Power, Hitachi Energy</t>
  </si>
  <si>
    <t xml:space="preserve">Network switch / media converter / SFP</t>
  </si>
  <si>
    <t xml:space="preserve">EMS/SCADA comms</t>
  </si>
  <si>
    <t xml:space="preserve">Managed, industrial-grade, same model</t>
  </si>
  <si>
    <t xml:space="preserve">Moxa, Hirschmann, Siemens RUGGEDCOM, Cisco</t>
  </si>
  <si>
    <t xml:space="preserve">EMS / SCADA server or industrial PC</t>
  </si>
  <si>
    <t xml:space="preserve">EMS</t>
  </si>
  <si>
    <t xml:space="preserve">OEM-qualified hardware; EMS design life 6–8 yrs</t>
  </si>
  <si>
    <t xml:space="preserve">1 hot standby</t>
  </si>
  <si>
    <t xml:space="preserve">Dell, HPE, Advantech, Siemens</t>
  </si>
  <si>
    <t xml:space="preserve">S7</t>
  </si>
  <si>
    <t xml:space="preserve">BESS makers / integrators active in India (Oct-2026)</t>
  </si>
  <si>
    <t xml:space="preserve">Role: Integrator = assembles DC blocks/containers; Cell = makes cells; PCS = power electronics; EPC/Dev = builds or owns projects.</t>
  </si>
  <si>
    <t xml:space="preserve">Company</t>
  </si>
  <si>
    <t xml:space="preserve">Origin</t>
  </si>
  <si>
    <t xml:space="preserve">Role in BESS value chain</t>
  </si>
  <si>
    <t xml:space="preserve">Segment</t>
  </si>
  <si>
    <t xml:space="preserve">Notable capacity / product / order</t>
  </si>
  <si>
    <t xml:space="preserve">In-house vs outsourced (as reported)</t>
  </si>
  <si>
    <t xml:space="preserve">Waaree Energy Storage Solutions (Waaree Energies)</t>
  </si>
  <si>
    <t xml:space="preserve">India</t>
  </si>
  <si>
    <t xml:space="preserve">Integrator + planned cells; MV skids via Waaree Transpower</t>
  </si>
  <si>
    <t xml:space="preserve">Utility, C&amp;I</t>
  </si>
  <si>
    <t xml:space="preserve">5.15 GWh BESS container facility commissioned; 3.5 GWh cell plan; ₹160 Cr 8.3 MVA MV-skid order</t>
  </si>
  <si>
    <t xml:space="preserve">Containers &amp; packs in-house; cells imported (cell line planned)</t>
  </si>
  <si>
    <t xml:space="preserve">S12, S10, S27</t>
  </si>
  <si>
    <t xml:space="preserve">Pace Digitek / Lineage Power</t>
  </si>
  <si>
    <t xml:space="preserve">Integrator (cell-to-BESS), PCS, EMS, EPC</t>
  </si>
  <si>
    <t xml:space="preserve">Utility</t>
  </si>
  <si>
    <t xml:space="preserve">&gt;260 containers / &gt;1.25 GWh in first year (Bidadi, KA); SECI 600 MW/1,200 MWh order (₹1,159 Cr)</t>
  </si>
  <si>
    <t xml:space="preserve">Container fabrication, PCS, EMS, EPC in-house; cells imported</t>
  </si>
  <si>
    <t xml:space="preserve">S13, S5</t>
  </si>
  <si>
    <t xml:space="preserve">Prostarm Info Systems</t>
  </si>
  <si>
    <t xml:space="preserve">Integrator / BESS developer (BESSPD)</t>
  </si>
  <si>
    <t xml:space="preserve">1.2 GWh plant at Reliance MET, Jhajjar (Haryana); 110 MW PCS from Delta</t>
  </si>
  <si>
    <t xml:space="preserve">PCS outsourced (Delta)</t>
  </si>
  <si>
    <t xml:space="preserve">S3, S4</t>
  </si>
  <si>
    <t xml:space="preserve">Delta Electronics India</t>
  </si>
  <si>
    <t xml:space="preserve">Taiwan / India</t>
  </si>
  <si>
    <t xml:space="preserve">PCS, EMS, integration</t>
  </si>
  <si>
    <t xml:space="preserve">Make-in-India 1.1 MW bi-directional PCS, up to 98.5% efficiency (Krishnagiri, TN)</t>
  </si>
  <si>
    <t xml:space="preserve">PCS in-house</t>
  </si>
  <si>
    <t xml:space="preserve">S3, S4, S28</t>
  </si>
  <si>
    <t xml:space="preserve">Tata Power (Renewables / Solar)</t>
  </si>
  <si>
    <t xml:space="preserve">Developer + EPC</t>
  </si>
  <si>
    <t xml:space="preserve">Large-scale BESS projects; storage-linked RE pipeline</t>
  </si>
  <si>
    <t xml:space="preserve">Equipment largely procured</t>
  </si>
  <si>
    <t xml:space="preserve">S28, S29</t>
  </si>
  <si>
    <t xml:space="preserve">Exide Industries / Exide Energy Solutions</t>
  </si>
  <si>
    <t xml:space="preserve">Cells (Li-ion gigafactory) + ESS</t>
  </si>
  <si>
    <t xml:space="preserve">India's largest legacy battery maker moving into Li-ion cells &amp; ESS</t>
  </si>
  <si>
    <t xml:space="preserve">Moving to in-house cells</t>
  </si>
  <si>
    <t xml:space="preserve">S28, S29, S30</t>
  </si>
  <si>
    <t xml:space="preserve">Amara Raja Energy &amp; Mobility</t>
  </si>
  <si>
    <t xml:space="preserve">Cells (Giga corridor, Telangana) + ESS</t>
  </si>
  <si>
    <t xml:space="preserve">Utility, C&amp;I, telecom</t>
  </si>
  <si>
    <t xml:space="preserve">Building Li-ion giga-corridor</t>
  </si>
  <si>
    <t xml:space="preserve">HBL Engineering</t>
  </si>
  <si>
    <t xml:space="preserve">Batteries + power electronics</t>
  </si>
  <si>
    <t xml:space="preserve">C&amp;I, defence, rail</t>
  </si>
  <si>
    <t xml:space="preserve">BESS with Made-in-India power electronics</t>
  </si>
  <si>
    <t xml:space="preserve">Power electronics in-house</t>
  </si>
  <si>
    <t xml:space="preserve">S30</t>
  </si>
  <si>
    <t xml:space="preserve">Replus Engitech</t>
  </si>
  <si>
    <t xml:space="preserve">Integrator</t>
  </si>
  <si>
    <t xml:space="preserve">RE5K 5.01 MWh liquid-cooled 20-ft container</t>
  </si>
  <si>
    <t xml:space="preserve">Integration in-house</t>
  </si>
  <si>
    <t xml:space="preserve">S19, S15</t>
  </si>
  <si>
    <t xml:space="preserve">AmpereHour Energy</t>
  </si>
  <si>
    <t xml:space="preserve">Integrator + cloud EMS</t>
  </si>
  <si>
    <t xml:space="preserve">20 MW/40 MWh BRPL Delhi project (with IndiGrid)</t>
  </si>
  <si>
    <t xml:space="preserve">EMS in-house; hardware sourced</t>
  </si>
  <si>
    <t xml:space="preserve">S6, S26</t>
  </si>
  <si>
    <t xml:space="preserve">Servotech Renewable Power System</t>
  </si>
  <si>
    <t xml:space="preserve">Integrator + power electronics</t>
  </si>
  <si>
    <t xml:space="preserve">C&amp;I</t>
  </si>
  <si>
    <t xml:space="preserve">Li-ion ESS with in-house power management</t>
  </si>
  <si>
    <t xml:space="preserve">S29</t>
  </si>
  <si>
    <t xml:space="preserve">Jupiter Electric Mobility (Jupiter Group)</t>
  </si>
  <si>
    <t xml:space="preserve">Vertically integrated C&amp;I BESS</t>
  </si>
  <si>
    <t xml:space="preserve">241 kWh–3 MWh, 10/20-ft air-cooled; Indore &amp; Bangalore</t>
  </si>
  <si>
    <t xml:space="preserve">Container fabrication, packs, integration in-house</t>
  </si>
  <si>
    <t xml:space="preserve">S14</t>
  </si>
  <si>
    <t xml:space="preserve">Cummins India</t>
  </si>
  <si>
    <t xml:space="preserve">USA / India</t>
  </si>
  <si>
    <t xml:space="preserve">C&amp;I BESS integrator</t>
  </si>
  <si>
    <t xml:space="preserve">211–2,280 kWh liquid-cooled, 10/20-ft containers</t>
  </si>
  <si>
    <t xml:space="preserve">Integration; components sourced</t>
  </si>
  <si>
    <t xml:space="preserve">S18</t>
  </si>
  <si>
    <t xml:space="preserve">Powertrac Group</t>
  </si>
  <si>
    <t xml:space="preserve">Integrator + in-house BMS</t>
  </si>
  <si>
    <t xml:space="preserve">₹600 Cr, 1 GWh/yr containerised BESS plant</t>
  </si>
  <si>
    <t xml:space="preserve">BMS in-house</t>
  </si>
  <si>
    <t xml:space="preserve">S17</t>
  </si>
  <si>
    <t xml:space="preserve">Advait Battery Ecosystems + Adaptive Engineering</t>
  </si>
  <si>
    <t xml:space="preserve">Integrator + EMS/SCADA</t>
  </si>
  <si>
    <t xml:space="preserve">Plant targeted Nov-2026; Adaptive has 1.4 GWh EMS-BESS deployments</t>
  </si>
  <si>
    <t xml:space="preserve">EMS/SCADA in-house (Adaptive)</t>
  </si>
  <si>
    <t xml:space="preserve">S25</t>
  </si>
  <si>
    <t xml:space="preserve">Statcon Energiaa</t>
  </si>
  <si>
    <t xml:space="preserve">Power electronics + BESS</t>
  </si>
  <si>
    <t xml:space="preserve">C&amp;I, utility</t>
  </si>
  <si>
    <t xml:space="preserve">PCS &amp; BESS solutions</t>
  </si>
  <si>
    <t xml:space="preserve">S15</t>
  </si>
  <si>
    <t xml:space="preserve">Hitachi Energy India</t>
  </si>
  <si>
    <t xml:space="preserve">Swiss-Japanese / India</t>
  </si>
  <si>
    <t xml:space="preserve">Grid BESS solutions, transformers, PCS</t>
  </si>
  <si>
    <t xml:space="preserve">Transformers, grid connection, BESS solutions</t>
  </si>
  <si>
    <t xml:space="preserve">In-house power equipment</t>
  </si>
  <si>
    <t xml:space="preserve">S8, S15, S31</t>
  </si>
  <si>
    <t xml:space="preserve">Luminous Power Technologies</t>
  </si>
  <si>
    <t xml:space="preserve">India (Schneider)</t>
  </si>
  <si>
    <t xml:space="preserve">Residential/C&amp;I ESS</t>
  </si>
  <si>
    <t xml:space="preserve">Residential, C&amp;I</t>
  </si>
  <si>
    <t xml:space="preserve">ESS product range</t>
  </si>
  <si>
    <t xml:space="preserve">Integration</t>
  </si>
  <si>
    <t xml:space="preserve">S27, S29</t>
  </si>
  <si>
    <t xml:space="preserve">Ornate Solar (UnityESS)</t>
  </si>
  <si>
    <t xml:space="preserve">Residential, C&amp;I, utility</t>
  </si>
  <si>
    <t xml:space="preserve">UnityESS range</t>
  </si>
  <si>
    <t xml:space="preserve">Integration; cells imported</t>
  </si>
  <si>
    <t xml:space="preserve">S32</t>
  </si>
  <si>
    <t xml:space="preserve">Trontek</t>
  </si>
  <si>
    <t xml:space="preserve">LFP pack maker for ESS/BESS</t>
  </si>
  <si>
    <t xml:space="preserve">Local LFP pack manufacturing</t>
  </si>
  <si>
    <t xml:space="preserve">Pack assembly in-house</t>
  </si>
  <si>
    <t xml:space="preserve">S33</t>
  </si>
  <si>
    <t xml:space="preserve">Sterling &amp; Wilson Renewable Energy / Tata Projects / SPML Infra</t>
  </si>
  <si>
    <t xml:space="preserve">EPC / BoP integrators</t>
  </si>
  <si>
    <t xml:space="preserve">BESS EPC and balance-of-plant</t>
  </si>
  <si>
    <t xml:space="preserve">EPC; equipment procured</t>
  </si>
  <si>
    <t xml:space="preserve">S29, S31</t>
  </si>
  <si>
    <t xml:space="preserve">Ola Electric / Reliance New Energy</t>
  </si>
  <si>
    <t xml:space="preserve">Cell makers (Ola producing; Reliance upcoming)</t>
  </si>
  <si>
    <t xml:space="preserve">Cells</t>
  </si>
  <si>
    <t xml:space="preserve">Only Indian cell producers named in Saur Energy piece</t>
  </si>
  <si>
    <t xml:space="preserve">—</t>
  </si>
  <si>
    <t xml:space="preserve">S6</t>
  </si>
  <si>
    <t xml:space="preserve">Global DC-block suppliers bid in India: Sungrow, BYD, CATL, Hithium, Trina Storage, EVE, REPT</t>
  </si>
  <si>
    <t xml:space="preserve">China</t>
  </si>
  <si>
    <t xml:space="preserve">Cells + DC blocks (+PCS for Sungrow)</t>
  </si>
  <si>
    <t xml:space="preserve">Supply bulk of imported LFP DC blocks</t>
  </si>
  <si>
    <t xml:space="preserve">Typically supply DC block incl. BMS, HVAC, FSS</t>
  </si>
  <si>
    <t xml:space="preserve">Industry knowledge – verify per tender</t>
  </si>
  <si>
    <t xml:space="preserve">Which BESS components are mostly outsourced by Indian integrators?</t>
  </si>
  <si>
    <t xml:space="preserve">Based on reported scopes of Indian players + localisation commentary.</t>
  </si>
  <si>
    <t xml:space="preserve">Component</t>
  </si>
  <si>
    <t xml:space="preserve">Typical sourcing by Indian integrator</t>
  </si>
  <si>
    <t xml:space="preserve">Localisation level in India</t>
  </si>
  <si>
    <t xml:space="preserve">Why</t>
  </si>
  <si>
    <t xml:space="preserve">Battery cells</t>
  </si>
  <si>
    <t xml:space="preserve">Outsourced (imported, mainly China)</t>
  </si>
  <si>
    <t xml:space="preserve">Very low</t>
  </si>
  <si>
    <t xml:space="preserve">Only Ola producing cells; Reliance upcoming. Cells ≈55% of BESS cost; Indian landed LFP cell price ~13–23% above China.</t>
  </si>
  <si>
    <t xml:space="preserve">S6, S34</t>
  </si>
  <si>
    <t xml:space="preserve">DC block (cells+BMS+HVAC+FSS pre-integrated)</t>
  </si>
  <si>
    <t xml:space="preserve">Often outsourced as one package</t>
  </si>
  <si>
    <t xml:space="preserve">Low–Medium</t>
  </si>
  <si>
    <t xml:space="preserve">Chinese DC-block suppliers ship complete liquid-cooled containers; Indian players now assembling packs/containers locally.</t>
  </si>
  <si>
    <t xml:space="preserve">S6, S12, S13</t>
  </si>
  <si>
    <t xml:space="preserve">Mostly outsourced (bundled with cells)</t>
  </si>
  <si>
    <t xml:space="preserve">Some players (Powertrac, Exide, Amara Raja) building in-house BMS; most rely on cell/DC-block vendor.</t>
  </si>
  <si>
    <t xml:space="preserve">S6, S17</t>
  </si>
  <si>
    <t xml:space="preserve">Medium–High</t>
  </si>
  <si>
    <t xml:space="preserve">India 'relatively strong' in PCS; Delta makes PCS in TN; Indian PCS prices competitive with China (Ember).</t>
  </si>
  <si>
    <t xml:space="preserve">S1, S4, S6</t>
  </si>
  <si>
    <t xml:space="preserve">MV transformer / MV skid</t>
  </si>
  <si>
    <t xml:space="preserve">High</t>
  </si>
  <si>
    <t xml:space="preserve">Mature Indian transformer base (Hitachi Energy, Siemens, Waaree Transpower, CG Power).</t>
  </si>
  <si>
    <t xml:space="preserve">S10, S31</t>
  </si>
  <si>
    <t xml:space="preserve">MV switchgear, LV panels, cables</t>
  </si>
  <si>
    <t xml:space="preserve">Commodity electrical items with strong domestic suppliers.</t>
  </si>
  <si>
    <t xml:space="preserve">S31</t>
  </si>
  <si>
    <t xml:space="preserve">Thermal management (chillers)</t>
  </si>
  <si>
    <t xml:space="preserve">Low</t>
  </si>
  <si>
    <t xml:space="preserve">Chiller units largely imported; IIT Gandhinagar notes liquid cold plates mostly import-dependent.</t>
  </si>
  <si>
    <t xml:space="preserve">S6, S20</t>
  </si>
  <si>
    <t xml:space="preserve">Fire detection &amp; suppression</t>
  </si>
  <si>
    <t xml:space="preserve">Medium</t>
  </si>
  <si>
    <t xml:space="preserve">Specialist fire-safety vendors; some integrators moving into FSS subsystems.</t>
  </si>
  <si>
    <t xml:space="preserve">S6, S21, S24</t>
  </si>
  <si>
    <t xml:space="preserve">Container / enclosure shell</t>
  </si>
  <si>
    <t xml:space="preserve">Mixed (outsourced shell or in-house)</t>
  </si>
  <si>
    <t xml:space="preserve">Container fabrication increasingly in-house (Waaree, Pace, JEM) or from DCM Containers; containerisation ≈10% of capex.</t>
  </si>
  <si>
    <t xml:space="preserve">S11, S12, S13, S14, S31</t>
  </si>
  <si>
    <t xml:space="preserve">Pack/rack assembly &amp; system integration</t>
  </si>
  <si>
    <t xml:space="preserve">In-house</t>
  </si>
  <si>
    <t xml:space="preserve">Growing</t>
  </si>
  <si>
    <t xml:space="preserve">Core value-add of Indian integrators; 6.35 GWh downstream capacity came online in Jul-2026.</t>
  </si>
  <si>
    <t xml:space="preserve">EMS / SCADA</t>
  </si>
  <si>
    <t xml:space="preserve">India strong in EMS software (AmpereHour, Adaptive, Pace in-house).</t>
  </si>
  <si>
    <t xml:space="preserve">S6, S25, S26</t>
  </si>
  <si>
    <t xml:space="preserve">O&amp;M</t>
  </si>
  <si>
    <t xml:space="preserve">Mixed (OEM LTSA or in-house)</t>
  </si>
  <si>
    <t xml:space="preserve">BESS has many electronic subsystems with more frequent failures than solar; 10-yr O&amp;M common in SECI scope.</t>
  </si>
  <si>
    <t xml:space="preserve">S5, S6</t>
  </si>
  <si>
    <t xml:space="preserve">Published BESS cost benchmarks used to calibrate estimates</t>
  </si>
  <si>
    <t xml:space="preserve">Metric</t>
  </si>
  <si>
    <t xml:space="preserve">Value</t>
  </si>
  <si>
    <t xml:space="preserve">Unit</t>
  </si>
  <si>
    <t xml:space="preserve">Context</t>
  </si>
  <si>
    <t xml:space="preserve">All-in BESS project cost (global, ex-China)</t>
  </si>
  <si>
    <t xml:space="preserve">$/kWh</t>
  </si>
  <si>
    <t xml:space="preserve">Oct-2025</t>
  </si>
  <si>
    <t xml:space="preserve">S1</t>
  </si>
  <si>
    <t xml:space="preserve">Core equipment (enclosures + PCS + EMS) delivered from China</t>
  </si>
  <si>
    <t xml:space="preserve">Usable capacity; low-duty markets</t>
  </si>
  <si>
    <t xml:space="preserve">PCS + EMS share of core equipment</t>
  </si>
  <si>
    <t xml:space="preserve">%</t>
  </si>
  <si>
    <t xml:space="preserve">Long-duration projects; enclosures ≈90%</t>
  </si>
  <si>
    <t xml:space="preserve">India BESS capex subsidy (VGF)</t>
  </si>
  <si>
    <t xml:space="preserve">₹ million/MWh</t>
  </si>
  <si>
    <t xml:space="preserve">≈$20/kWh</t>
  </si>
  <si>
    <t xml:space="preserve">Battery cells share of BESS cost</t>
  </si>
  <si>
    <t xml:space="preserve">Battery storage (DC side) share of capex</t>
  </si>
  <si>
    <t xml:space="preserve">70–80%</t>
  </si>
  <si>
    <t xml:space="preserve">India planning deck</t>
  </si>
  <si>
    <t xml:space="preserve">Inverters + transformers share of capex</t>
  </si>
  <si>
    <t xml:space="preserve">12–20%</t>
  </si>
  <si>
    <t xml:space="preserve">Depends on duration &amp; HV/MV transformer</t>
  </si>
  <si>
    <t xml:space="preserve">EMS share of capex</t>
  </si>
  <si>
    <t xml:space="preserve">≤3%</t>
  </si>
  <si>
    <t xml:space="preserve">EMS design life 6–8 yrs</t>
  </si>
  <si>
    <t xml:space="preserve">Containerisation share of capex</t>
  </si>
  <si>
    <t xml:space="preserve">C&amp;I 1 MWh turnkey BESS (India, 2026)</t>
  </si>
  <si>
    <t xml:space="preserve">2.8–3.2</t>
  </si>
  <si>
    <t xml:space="preserve">₹ Cr</t>
  </si>
  <si>
    <t xml:space="preserve">Down from ~₹4.5 Cr in 2022</t>
  </si>
  <si>
    <t xml:space="preserve">S2</t>
  </si>
  <si>
    <t xml:space="preserve">Landed LFP cell price India vs China</t>
  </si>
  <si>
    <t xml:space="preserve">62–67 vs 54.5</t>
  </si>
  <si>
    <t xml:space="preserve">Jul-2026</t>
  </si>
  <si>
    <t xml:space="preserve">S34</t>
  </si>
  <si>
    <t xml:space="preserve">Lowest 2-h standalone BESS tariff (India, 2025)</t>
  </si>
  <si>
    <t xml:space="preserve">₹ lakh/MW/month</t>
  </si>
  <si>
    <t xml:space="preserve">Sources</t>
  </si>
  <si>
    <t xml:space="preserve">Accessed 29-Oct-2026. 'estimate' in other sheets = Claude's engineering estimate, not from a source.</t>
  </si>
  <si>
    <t xml:space="preserve">ID</t>
  </si>
  <si>
    <t xml:space="preserve">Title / publisher</t>
  </si>
  <si>
    <t xml:space="preserve">URL</t>
  </si>
  <si>
    <t xml:space="preserve">Ember – How cheap is battery storage (all-in $125/kWh; core equipment split)</t>
  </si>
  <si>
    <t xml:space="preserve">https://ember-energy.org/latest-insights/how-cheap-is-battery-storage/</t>
  </si>
  <si>
    <t xml:space="preserve">DCNT Global – BESS in India: 2026 C&amp;I Buyer's Guide</t>
  </si>
  <si>
    <t xml:space="preserve">https://www.dcntglobal.com/?p=5380</t>
  </si>
  <si>
    <t xml:space="preserve">S3</t>
  </si>
  <si>
    <t xml:space="preserve">Saur Energy – Delta Electronics India to deploy 110 MW PCS for Prostarm</t>
  </si>
  <si>
    <t xml:space="preserve">https://www.saurenergy.com/solar-energy-news/delta-electronics-india-to-deploy-110-mw-pcs-for-prostarms-bess-portfolio-across-india-10977625</t>
  </si>
  <si>
    <t xml:space="preserve">S4</t>
  </si>
  <si>
    <t xml:space="preserve">pv magazine India – Delta to supply 110 MW PCS to Prostarm (Jan-2026)</t>
  </si>
  <si>
    <t xml:space="preserve">https://www.pv-magazine-india.com/2026/01/06/delta-electronics-india-to-supply-110-mw-of-power-conditioning-systems-for-prostarms-battery-storage-projects</t>
  </si>
  <si>
    <t xml:space="preserve">S5</t>
  </si>
  <si>
    <t xml:space="preserve">Renewable Watch – Pace Digitek ₹1,159 Cr SECI 1.2 GWh order (scope incl. HVAC, FSS, PCS, BMS, EMS)</t>
  </si>
  <si>
    <t xml:space="preserve">https://renewablewatch.in/2025/10/27/pace-digitek-secures-rs-11-59-billion-order-to-supply-1-2-gwh-bess/</t>
  </si>
  <si>
    <t xml:space="preserve">Saur Energy – India's energy storage ambition faces a reality check</t>
  </si>
  <si>
    <t xml:space="preserve">https://www.saurenergy.com/solar-energy-articles/indias-energy-storage-ambition-faces-a-reality-check-11055300</t>
  </si>
  <si>
    <t xml:space="preserve">Basics of BESS &amp; Project Planning (presentation – capex split, MV/HV practice in India)</t>
  </si>
  <si>
    <t xml:space="preserve">https://docs.google.com/presentation/d/193_upMsCzqBcJ00GY8S_ODpc8LtrhkgF/htmlpresent</t>
  </si>
  <si>
    <t xml:space="preserve">S8</t>
  </si>
  <si>
    <t xml:space="preserve">Hitachi Energy India – Transformers for solar / BESS</t>
  </si>
  <si>
    <t xml:space="preserve">https://www.hitachienergy.com/in/en/products-and-solutions/transformers/by-customer-segment/transformers-for-solar</t>
  </si>
  <si>
    <t xml:space="preserve">S9</t>
  </si>
  <si>
    <t xml:space="preserve">BHEL / SECI 40 MW/120 MWh BESS price schedule (component list incl. spares)</t>
  </si>
  <si>
    <t xml:space="preserve">https://tenders.bhel.com/sites/default/files/PriceScheduleRev01.pdf</t>
  </si>
  <si>
    <t xml:space="preserve">S10</t>
  </si>
  <si>
    <t xml:space="preserve">pv magazine India – Waaree Transpower ₹160 Cr BESS MV-skid order (Aug-2026)</t>
  </si>
  <si>
    <t xml:space="preserve">https://pv-magazine-india.com/2026/08/12/waaree-transpower-secures-inr-160-crore-order-for-bess-medium-voltage-skids/</t>
  </si>
  <si>
    <t xml:space="preserve">S11</t>
  </si>
  <si>
    <t xml:space="preserve">Intermodal – DCM Containers: Indian maker of BESS containers</t>
  </si>
  <si>
    <t xml:space="preserve">https://ezone.intermodal-events.com/press-releases/dcm-containers-indian-manufacturer-types-standard-customized-bess-containers</t>
  </si>
  <si>
    <t xml:space="preserve">S12</t>
  </si>
  <si>
    <t xml:space="preserve">Evertiq – Waaree launches 5.15 GWh BESS container facility (Jul-2026)</t>
  </si>
  <si>
    <t xml:space="preserve">https://evertiq.com/news/2026-07-17-waaree-energy-launches-bess-container-manufacturing-facility</t>
  </si>
  <si>
    <t xml:space="preserve">S13</t>
  </si>
  <si>
    <t xml:space="preserve">pv magazine India – Pace Digitek/Lineage Power &gt;260 containers in year one</t>
  </si>
  <si>
    <t xml:space="preserve">https://www.pv-magazine-india.com/?p=15734</t>
  </si>
  <si>
    <t xml:space="preserve">pv magazine India – Jupiter Electric Mobility containerised BESS</t>
  </si>
  <si>
    <t xml:space="preserve">https://www.pv-magazine-india.com/2025/09/25/jupiter-electric-mobility-launches-containerized-bess-for-ci-applications</t>
  </si>
  <si>
    <t xml:space="preserve">DCNT Global – Top 10 BESS manufacturers in India compared</t>
  </si>
  <si>
    <t xml:space="preserve">https://www.dcntglobal.com/?p=5360</t>
  </si>
  <si>
    <t xml:space="preserve">S16</t>
  </si>
  <si>
    <t xml:space="preserve">BHEL tender price schedule (container, PCS, EMS, transformer, breaker, cables, spares line items)</t>
  </si>
  <si>
    <t xml:space="preserve">Saur Energy – Powertrac ₹600 Cr 1 GWh BESS facility, in-house BMS</t>
  </si>
  <si>
    <t xml:space="preserve">https://www.saurenergy.com/solar-energy-news/powertrac-bets-on-containerised-bess-invests-6-billion-in-1-gwh-facility-11114861</t>
  </si>
  <si>
    <t xml:space="preserve">ESS News – Cummins launches containerised liquid-cooled BESS in India</t>
  </si>
  <si>
    <t xml:space="preserve">https://www.ess-news.com/?p=6550</t>
  </si>
  <si>
    <t xml:space="preserve">S19</t>
  </si>
  <si>
    <t xml:space="preserve">Energetica India – Replus RE5K 5.01 MWh liquid-cooled BESS</t>
  </si>
  <si>
    <t xml:space="preserve">https://www.energetica-india.net/news/replus-engitech-launches-re5k-liquid-cooled-bess-at-rei-expo-2025</t>
  </si>
  <si>
    <t xml:space="preserve">S20</t>
  </si>
  <si>
    <t xml:space="preserve">SolarQuarter – Make-in-India liquid cold plates (import dependence)</t>
  </si>
  <si>
    <t xml:space="preserve">https://solarquarter.com/2026/07/02/make-in-india-cooling-technology-advances-thermal-management-for-evs-bess-and-ai-data-centres/</t>
  </si>
  <si>
    <t xml:space="preserve">S21</t>
  </si>
  <si>
    <t xml:space="preserve">TradeIndia – Fire suppression system for ESS/BESS, ₹59,000/piece (Fire Engineering Technology)</t>
  </si>
  <si>
    <t xml:space="preserve">https://www.tradeindia.com/products/fire-suppression-for-electrical-panels-c4316472.html</t>
  </si>
  <si>
    <t xml:space="preserve">S22</t>
  </si>
  <si>
    <t xml:space="preserve">ATESS – Containerised BESS fire safety (agents: HFC-227ea, Novec 1230, water mist, aerosol)</t>
  </si>
  <si>
    <t xml:space="preserve">https://static.atesspower.com/upload/files/20250724/cb1912a3fd75084f83f712c8e0a8162c.pdf</t>
  </si>
  <si>
    <t xml:space="preserve">S23</t>
  </si>
  <si>
    <t xml:space="preserve">Energy-Storage.news – Third-party thermal-runaway / aerosol technologies (NFPA 855, UL 9540A)</t>
  </si>
  <si>
    <t xml:space="preserve">https://www.energy-storage.news/third-party-technologies-for-preventing-or-dealing-with-thermal-runaway-in-bess-assets/</t>
  </si>
  <si>
    <t xml:space="preserve">S24</t>
  </si>
  <si>
    <t xml:space="preserve">Interschutz – Swastik Synergy Engineering (Indian fire suppression maker)</t>
  </si>
  <si>
    <t xml:space="preserve">https://www.interschutz.de/exhibitor/swastik-synergy-engineering/N1483492</t>
  </si>
  <si>
    <t xml:space="preserve">Power Peak Digest – Advait &amp; Adaptive Engineering integrated BESS platform</t>
  </si>
  <si>
    <t xml:space="preserve">https://powerpeakdigest.com/?p=62369</t>
  </si>
  <si>
    <t xml:space="preserve">S26</t>
  </si>
  <si>
    <t xml:space="preserve">IPP Journal – AmpereHour Solar Technology profile</t>
  </si>
  <si>
    <t xml:space="preserve">https://ippjournal.com/company/amperehour-solar-technology</t>
  </si>
  <si>
    <t xml:space="preserve">S27</t>
  </si>
  <si>
    <t xml:space="preserve">Blackridge Research – Top BESS companies in India 2026</t>
  </si>
  <si>
    <t xml:space="preserve">https://www.blackridgeresearch.com/blog/latest-list-of-top-largest-bess-battery-energy-storage-system-companies-manufacturers-india</t>
  </si>
  <si>
    <t xml:space="preserve">S28</t>
  </si>
  <si>
    <t xml:space="preserve">Moglix – Top 10 BESS manufacturers in India 2026</t>
  </si>
  <si>
    <t xml:space="preserve">https://blog.business.moglix.com/?p=25698</t>
  </si>
  <si>
    <t xml:space="preserve">Servotech – Best BESS companies in India 2026</t>
  </si>
  <si>
    <t xml:space="preserve">https://www.servotech.in/blog/?p=18388</t>
  </si>
  <si>
    <t xml:space="preserve">Rupeezy – Top BESS stocks in India 2026</t>
  </si>
  <si>
    <t xml:space="preserve">https://rupeezy.in/blog/top-bess-stocks-in-india</t>
  </si>
  <si>
    <t xml:space="preserve">PL Capital – Power sector report (16-Jan-2026): containerisation ~10% capex, beneficiaries</t>
  </si>
  <si>
    <t xml:space="preserve">https://plindia.com/ResReport/Power-16-1-26-PL.pdf</t>
  </si>
  <si>
    <t xml:space="preserve">Ornate Solar – Top 10 BESS manufacturers in India</t>
  </si>
  <si>
    <t xml:space="preserve">https://ornatesolar.com/?p=78392</t>
  </si>
  <si>
    <t xml:space="preserve">Electronics Buzz – Advancing landscape of BESS in India (Trontek)</t>
  </si>
  <si>
    <t xml:space="preserve">https://electronicsbuzz.in/?p=370667</t>
  </si>
  <si>
    <t xml:space="preserve">LinkedIn post – Landed LFP cell cost India vs China; 6.35 GWh downstream capacity (Jul-2026)</t>
  </si>
  <si>
    <t xml:space="preserve">https://de.linkedin.com/in/sukmar</t>
  </si>
  <si>
    <t xml:space="preserve">S35</t>
  </si>
  <si>
    <t xml:space="preserve">NREL ATB – Utility-scale battery storage cost structure (BOS scaling by kW vs kWh)</t>
  </si>
  <si>
    <t xml:space="preserve">https://atb.nrel.gov/electricity/2024/utility-scale_battery_storage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</si>
</sst>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"/>
    <numFmt numFmtId="167" formatCode="0.0%"/>
    <numFmt numFmtId="168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u val="single"/>
      <sz val="9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  <fill>
      <patternFill patternType="solid">
        <fgColor rgb="FFF8CBAD"/>
        <bgColor rgb="FFD9D9D9"/>
      </patternFill>
    </fill>
    <fill>
      <patternFill patternType="solid">
        <fgColor rgb="FFFFF2CC"/>
        <bgColor rgb="FFF9F9F9"/>
      </patternFill>
    </fill>
    <fill>
      <patternFill patternType="solid">
        <fgColor rgb="FFC6EFCE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FFF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BoS cost by component – mid estimate (₹ Cr, 100 MW / 400 MWh)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'BoS Components'!K4</c:f>
              <c:strCache>
                <c:ptCount val="1"/>
                <c:pt idx="0">
                  <c:v>Mid (₹ Cr)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'BoS Components'!$A$5:$A$21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'BoS Components'!$K$5:$K$21</c:f>
              <c:numCache>
                <c:formatCode>#,##0.0</c:formatCode>
                <c:ptCount val="17"/>
                <c:pt idx="0">
                  <c:v>32.5</c:v>
                </c:pt>
                <c:pt idx="1">
                  <c:v>11</c:v>
                </c:pt>
                <c:pt idx="2">
                  <c:v>3.75</c:v>
                </c:pt>
                <c:pt idx="3">
                  <c:v>8.25</c:v>
                </c:pt>
                <c:pt idx="4">
                  <c:v>9.2</c:v>
                </c:pt>
                <c:pt idx="5">
                  <c:v>4.8</c:v>
                </c:pt>
                <c:pt idx="6">
                  <c:v>10</c:v>
                </c:pt>
                <c:pt idx="7">
                  <c:v>5.6</c:v>
                </c:pt>
                <c:pt idx="8">
                  <c:v>4</c:v>
                </c:pt>
                <c:pt idx="9">
                  <c:v>2.4</c:v>
                </c:pt>
                <c:pt idx="10">
                  <c:v>1.125</c:v>
                </c:pt>
                <c:pt idx="11">
                  <c:v>1.5</c:v>
                </c:pt>
                <c:pt idx="12">
                  <c:v>6</c:v>
                </c:pt>
                <c:pt idx="13">
                  <c:v>2.75</c:v>
                </c:pt>
                <c:pt idx="14">
                  <c:v>1</c:v>
                </c:pt>
                <c:pt idx="15">
                  <c:v>0.75</c:v>
                </c:pt>
                <c:pt idx="16">
                  <c:v>0.35</c:v>
                </c:pt>
              </c:numCache>
            </c:numRef>
          </c:val>
        </c:ser>
        <c:gapWidth val="150"/>
        <c:overlap val="0"/>
        <c:axId val="44737060"/>
        <c:axId val="26762466"/>
      </c:barChart>
      <c:catAx>
        <c:axId val="447370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62466"/>
        <c:crosses val="autoZero"/>
        <c:auto val="1"/>
        <c:lblAlgn val="ctr"/>
        <c:lblOffset val="100"/>
        <c:noMultiLvlLbl val="0"/>
      </c:catAx>
      <c:valAx>
        <c:axId val="267624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Cr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370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160560</xdr:rowOff>
    </xdr:from>
    <xdr:to>
      <xdr:col>6</xdr:col>
      <xdr:colOff>760320</xdr:colOff>
      <xdr:row>46</xdr:row>
      <xdr:rowOff>161640</xdr:rowOff>
    </xdr:to>
    <xdr:graphicFrame>
      <xdr:nvGraphicFramePr>
        <xdr:cNvPr id="0" name="Chart 1"/>
        <xdr:cNvGraphicFramePr/>
      </xdr:nvGraphicFramePr>
      <xdr:xfrm>
        <a:off x="281880" y="2046924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ember-energy.org/latest-insights/how-cheap-is-battery-storage/" TargetMode="External"/><Relationship Id="rId2" Type="http://schemas.openxmlformats.org/officeDocument/2006/relationships/hyperlink" Target="https://www.dcntglobal.com/?p=5380" TargetMode="External"/><Relationship Id="rId3" Type="http://schemas.openxmlformats.org/officeDocument/2006/relationships/hyperlink" Target="https://www.saurenergy.com/solar-energy-news/delta-electronics-india-to-deploy-110-mw-pcs-for-prostarms-bess-portfolio-across-india-10977625" TargetMode="External"/><Relationship Id="rId4" Type="http://schemas.openxmlformats.org/officeDocument/2006/relationships/hyperlink" Target="https://www.pv-magazine-india.com/2026/01/06/delta-electronics-india-to-supply-110-mw-of-power-conditioning-systems-for-prostarms-battery-storage-projects" TargetMode="External"/><Relationship Id="rId5" Type="http://schemas.openxmlformats.org/officeDocument/2006/relationships/hyperlink" Target="https://renewablewatch.in/2025/10/27/pace-digitek-secures-rs-11-59-billion-order-to-supply-1-2-gwh-bess/" TargetMode="External"/><Relationship Id="rId6" Type="http://schemas.openxmlformats.org/officeDocument/2006/relationships/hyperlink" Target="https://www.saurenergy.com/solar-energy-articles/indias-energy-storage-ambition-faces-a-reality-check-11055300" TargetMode="External"/><Relationship Id="rId7" Type="http://schemas.openxmlformats.org/officeDocument/2006/relationships/hyperlink" Target="https://docs.google.com/presentation/d/193_upMsCzqBcJ00GY8S_ODpc8LtrhkgF/htmlpresent" TargetMode="External"/><Relationship Id="rId8" Type="http://schemas.openxmlformats.org/officeDocument/2006/relationships/hyperlink" Target="https://www.hitachienergy.com/in/en/products-and-solutions/transformers/by-customer-segment/transformers-for-solar" TargetMode="External"/><Relationship Id="rId9" Type="http://schemas.openxmlformats.org/officeDocument/2006/relationships/hyperlink" Target="https://tenders.bhel.com/sites/default/files/PriceScheduleRev01.pdf" TargetMode="External"/><Relationship Id="rId10" Type="http://schemas.openxmlformats.org/officeDocument/2006/relationships/hyperlink" Target="https://pv-magazine-india.com/2026/08/12/waaree-transpower-secures-inr-160-crore-order-for-bess-medium-voltage-skids/" TargetMode="External"/><Relationship Id="rId11" Type="http://schemas.openxmlformats.org/officeDocument/2006/relationships/hyperlink" Target="https://ezone.intermodal-events.com/press-releases/dcm-containers-indian-manufacturer-types-standard-customized-bess-containers" TargetMode="External"/><Relationship Id="rId12" Type="http://schemas.openxmlformats.org/officeDocument/2006/relationships/hyperlink" Target="https://evertiq.com/news/2026-07-17-waaree-energy-launches-bess-container-manufacturing-facility" TargetMode="External"/><Relationship Id="rId13" Type="http://schemas.openxmlformats.org/officeDocument/2006/relationships/hyperlink" Target="https://www.pv-magazine-india.com/?p=15734" TargetMode="External"/><Relationship Id="rId14" Type="http://schemas.openxmlformats.org/officeDocument/2006/relationships/hyperlink" Target="https://www.pv-magazine-india.com/2025/09/25/jupiter-electric-mobility-launches-containerized-bess-for-ci-applications" TargetMode="External"/><Relationship Id="rId15" Type="http://schemas.openxmlformats.org/officeDocument/2006/relationships/hyperlink" Target="https://www.dcntglobal.com/?p=5360" TargetMode="External"/><Relationship Id="rId16" Type="http://schemas.openxmlformats.org/officeDocument/2006/relationships/hyperlink" Target="https://tenders.bhel.com/sites/default/files/PriceScheduleRev01.pdf" TargetMode="External"/><Relationship Id="rId17" Type="http://schemas.openxmlformats.org/officeDocument/2006/relationships/hyperlink" Target="https://www.saurenergy.com/solar-energy-news/powertrac-bets-on-containerised-bess-invests-6-billion-in-1-gwh-facility-11114861" TargetMode="External"/><Relationship Id="rId18" Type="http://schemas.openxmlformats.org/officeDocument/2006/relationships/hyperlink" Target="https://www.ess-news.com/?p=6550" TargetMode="External"/><Relationship Id="rId19" Type="http://schemas.openxmlformats.org/officeDocument/2006/relationships/hyperlink" Target="https://www.energetica-india.net/news/replus-engitech-launches-re5k-liquid-cooled-bess-at-rei-expo-2025" TargetMode="External"/><Relationship Id="rId20" Type="http://schemas.openxmlformats.org/officeDocument/2006/relationships/hyperlink" Target="https://solarquarter.com/2026/07/02/make-in-india-cooling-technology-advances-thermal-management-for-evs-bess-and-ai-data-centres/" TargetMode="External"/><Relationship Id="rId21" Type="http://schemas.openxmlformats.org/officeDocument/2006/relationships/hyperlink" Target="https://www.tradeindia.com/products/fire-suppression-for-electrical-panels-c4316472.html" TargetMode="External"/><Relationship Id="rId22" Type="http://schemas.openxmlformats.org/officeDocument/2006/relationships/hyperlink" Target="https://static.atesspower.com/upload/files/20250724/cb1912a3fd75084f83f712c8e0a8162c.pdf" TargetMode="External"/><Relationship Id="rId23" Type="http://schemas.openxmlformats.org/officeDocument/2006/relationships/hyperlink" Target="https://www.energy-storage.news/third-party-technologies-for-preventing-or-dealing-with-thermal-runaway-in-bess-assets/" TargetMode="External"/><Relationship Id="rId24" Type="http://schemas.openxmlformats.org/officeDocument/2006/relationships/hyperlink" Target="https://www.interschutz.de/exhibitor/swastik-synergy-engineering/N1483492" TargetMode="External"/><Relationship Id="rId25" Type="http://schemas.openxmlformats.org/officeDocument/2006/relationships/hyperlink" Target="https://powerpeakdigest.com/?p=62369" TargetMode="External"/><Relationship Id="rId26" Type="http://schemas.openxmlformats.org/officeDocument/2006/relationships/hyperlink" Target="https://ippjournal.com/company/amperehour-solar-technology" TargetMode="External"/><Relationship Id="rId27" Type="http://schemas.openxmlformats.org/officeDocument/2006/relationships/hyperlink" Target="https://www.blackridgeresearch.com/blog/latest-list-of-top-largest-bess-battery-energy-storage-system-companies-manufacturers-india" TargetMode="External"/><Relationship Id="rId28" Type="http://schemas.openxmlformats.org/officeDocument/2006/relationships/hyperlink" Target="https://blog.business.moglix.com/?p=25698" TargetMode="External"/><Relationship Id="rId29" Type="http://schemas.openxmlformats.org/officeDocument/2006/relationships/hyperlink" Target="https://www.servotech.in/blog/?p=18388" TargetMode="External"/><Relationship Id="rId30" Type="http://schemas.openxmlformats.org/officeDocument/2006/relationships/hyperlink" Target="https://rupeezy.in/blog/top-bess-stocks-in-india" TargetMode="External"/><Relationship Id="rId31" Type="http://schemas.openxmlformats.org/officeDocument/2006/relationships/hyperlink" Target="https://plindia.com/ResReport/Power-16-1-26-PL.pdf" TargetMode="External"/><Relationship Id="rId32" Type="http://schemas.openxmlformats.org/officeDocument/2006/relationships/hyperlink" Target="https://ornatesolar.com/?p=78392" TargetMode="External"/><Relationship Id="rId33" Type="http://schemas.openxmlformats.org/officeDocument/2006/relationships/hyperlink" Target="https://electronicsbuzz.in/?p=370667" TargetMode="External"/><Relationship Id="rId34" Type="http://schemas.openxmlformats.org/officeDocument/2006/relationships/hyperlink" Target="https://de.linkedin.com/in/sukmar" TargetMode="External"/><Relationship Id="rId35" Type="http://schemas.openxmlformats.org/officeDocument/2006/relationships/hyperlink" Target="https://atb.nrel.gov/electricity/2024/utility-scale_battery_storag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2" min="11" style="0" width="9"/>
    <col collapsed="false" customWidth="true" hidden="false" outlineLevel="0" max="13" min="13" style="0" width="44"/>
    <col collapsed="false" customWidth="true" hidden="false" outlineLevel="0" max="14" min="14" style="0" width="16"/>
    <col collapsed="false" customWidth="true" hidden="false" outlineLevel="0" max="15" min="15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78" hidden="false" customHeight="true" outlineLevel="0" collapsed="false">
      <c r="A5" s="4" t="n">
        <v>1</v>
      </c>
      <c r="B5" s="4" t="s">
        <v>17</v>
      </c>
      <c r="C5" s="4" t="s">
        <v>18</v>
      </c>
      <c r="D5" s="4" t="s">
        <v>19</v>
      </c>
      <c r="E5" s="4" t="s">
        <v>20</v>
      </c>
      <c r="F5" s="5" t="n">
        <v>2500</v>
      </c>
      <c r="G5" s="5" t="n">
        <v>4000</v>
      </c>
      <c r="H5" s="5" t="n">
        <v>100000</v>
      </c>
      <c r="I5" s="6" t="n">
        <f aca="false">F5*H5/10000000</f>
        <v>25</v>
      </c>
      <c r="J5" s="6" t="n">
        <f aca="false">G5*H5/10000000</f>
        <v>40</v>
      </c>
      <c r="K5" s="6" t="n">
        <f aca="false">(I5+J5)/2</f>
        <v>32.5</v>
      </c>
      <c r="L5" s="7" t="n">
        <f aca="false">K5/$K$22</f>
        <v>0.309597523219814</v>
      </c>
      <c r="M5" s="4" t="s">
        <v>21</v>
      </c>
      <c r="N5" s="4" t="s">
        <v>22</v>
      </c>
      <c r="O5" s="4" t="s">
        <v>23</v>
      </c>
    </row>
    <row r="6" customFormat="false" ht="78" hidden="false" customHeight="true" outlineLevel="0" collapsed="false">
      <c r="A6" s="4" t="n">
        <v>2</v>
      </c>
      <c r="B6" s="4" t="s">
        <v>24</v>
      </c>
      <c r="C6" s="4" t="s">
        <v>25</v>
      </c>
      <c r="D6" s="4" t="s">
        <v>26</v>
      </c>
      <c r="E6" s="4" t="s">
        <v>27</v>
      </c>
      <c r="F6" s="5" t="n">
        <v>800000</v>
      </c>
      <c r="G6" s="5" t="n">
        <v>1200000</v>
      </c>
      <c r="H6" s="5" t="n">
        <v>110</v>
      </c>
      <c r="I6" s="6" t="n">
        <f aca="false">F6*H6/10000000</f>
        <v>8.8</v>
      </c>
      <c r="J6" s="6" t="n">
        <f aca="false">G6*H6/10000000</f>
        <v>13.2</v>
      </c>
      <c r="K6" s="6" t="n">
        <f aca="false">(I6+J6)/2</f>
        <v>11</v>
      </c>
      <c r="L6" s="7" t="n">
        <f aca="false">K6/$K$22</f>
        <v>0.10478685401286</v>
      </c>
      <c r="M6" s="4" t="s">
        <v>28</v>
      </c>
      <c r="N6" s="4" t="s">
        <v>29</v>
      </c>
      <c r="O6" s="4" t="s">
        <v>30</v>
      </c>
    </row>
    <row r="7" customFormat="false" ht="78" hidden="false" customHeight="true" outlineLevel="0" collapsed="false">
      <c r="A7" s="4" t="n">
        <v>3</v>
      </c>
      <c r="B7" s="4" t="s">
        <v>31</v>
      </c>
      <c r="C7" s="4" t="s">
        <v>32</v>
      </c>
      <c r="D7" s="4" t="s">
        <v>33</v>
      </c>
      <c r="E7" s="4" t="s">
        <v>34</v>
      </c>
      <c r="F7" s="5" t="n">
        <v>1000000</v>
      </c>
      <c r="G7" s="5" t="n">
        <v>2000000</v>
      </c>
      <c r="H7" s="5" t="n">
        <v>25</v>
      </c>
      <c r="I7" s="6" t="n">
        <f aca="false">F7*H7/10000000</f>
        <v>2.5</v>
      </c>
      <c r="J7" s="6" t="n">
        <f aca="false">G7*H7/10000000</f>
        <v>5</v>
      </c>
      <c r="K7" s="6" t="n">
        <f aca="false">(I7+J7)/2</f>
        <v>3.75</v>
      </c>
      <c r="L7" s="7" t="n">
        <f aca="false">K7/$K$22</f>
        <v>0.0357227911407478</v>
      </c>
      <c r="M7" s="4" t="s">
        <v>35</v>
      </c>
      <c r="N7" s="4" t="s">
        <v>29</v>
      </c>
      <c r="O7" s="4" t="s">
        <v>36</v>
      </c>
    </row>
    <row r="8" customFormat="false" ht="78" hidden="false" customHeight="true" outlineLevel="0" collapsed="false">
      <c r="A8" s="4" t="n">
        <v>4</v>
      </c>
      <c r="B8" s="4" t="s">
        <v>37</v>
      </c>
      <c r="C8" s="4" t="s">
        <v>38</v>
      </c>
      <c r="D8" s="4" t="s">
        <v>39</v>
      </c>
      <c r="E8" s="4" t="s">
        <v>27</v>
      </c>
      <c r="F8" s="5" t="n">
        <v>600000</v>
      </c>
      <c r="G8" s="5" t="n">
        <v>900000</v>
      </c>
      <c r="H8" s="5" t="n">
        <v>110</v>
      </c>
      <c r="I8" s="6" t="n">
        <f aca="false">F8*H8/10000000</f>
        <v>6.6</v>
      </c>
      <c r="J8" s="6" t="n">
        <f aca="false">G8*H8/10000000</f>
        <v>9.9</v>
      </c>
      <c r="K8" s="6" t="n">
        <f aca="false">(I8+J8)/2</f>
        <v>8.25</v>
      </c>
      <c r="L8" s="7" t="n">
        <f aca="false">K8/$K$22</f>
        <v>0.0785901405096452</v>
      </c>
      <c r="M8" s="4" t="s">
        <v>40</v>
      </c>
      <c r="N8" s="4" t="s">
        <v>41</v>
      </c>
      <c r="O8" s="4" t="s">
        <v>42</v>
      </c>
    </row>
    <row r="9" customFormat="false" ht="78" hidden="false" customHeight="true" outlineLevel="0" collapsed="false">
      <c r="A9" s="4" t="n">
        <v>5</v>
      </c>
      <c r="B9" s="4" t="s">
        <v>43</v>
      </c>
      <c r="C9" s="4" t="s">
        <v>44</v>
      </c>
      <c r="D9" s="4" t="s">
        <v>45</v>
      </c>
      <c r="E9" s="4" t="s">
        <v>46</v>
      </c>
      <c r="F9" s="5" t="n">
        <v>800000</v>
      </c>
      <c r="G9" s="5" t="n">
        <v>1500000</v>
      </c>
      <c r="H9" s="5" t="n">
        <v>80</v>
      </c>
      <c r="I9" s="6" t="n">
        <f aca="false">F9*H9/10000000</f>
        <v>6.4</v>
      </c>
      <c r="J9" s="6" t="n">
        <f aca="false">G9*H9/10000000</f>
        <v>12</v>
      </c>
      <c r="K9" s="6" t="n">
        <f aca="false">(I9+J9)/2</f>
        <v>9.2</v>
      </c>
      <c r="L9" s="7" t="n">
        <f aca="false">K9/$K$22</f>
        <v>0.0876399142653013</v>
      </c>
      <c r="M9" s="4" t="s">
        <v>47</v>
      </c>
      <c r="N9" s="4" t="s">
        <v>48</v>
      </c>
      <c r="O9" s="4" t="s">
        <v>49</v>
      </c>
    </row>
    <row r="10" customFormat="false" ht="78" hidden="false" customHeight="true" outlineLevel="0" collapsed="false">
      <c r="A10" s="4" t="n">
        <v>6</v>
      </c>
      <c r="B10" s="4" t="s">
        <v>50</v>
      </c>
      <c r="C10" s="4" t="s">
        <v>51</v>
      </c>
      <c r="D10" s="4" t="s">
        <v>52</v>
      </c>
      <c r="E10" s="4" t="s">
        <v>46</v>
      </c>
      <c r="F10" s="5" t="n">
        <v>400000</v>
      </c>
      <c r="G10" s="5" t="n">
        <v>800000</v>
      </c>
      <c r="H10" s="5" t="n">
        <v>80</v>
      </c>
      <c r="I10" s="6" t="n">
        <f aca="false">F10*H10/10000000</f>
        <v>3.2</v>
      </c>
      <c r="J10" s="6" t="n">
        <f aca="false">G10*H10/10000000</f>
        <v>6.4</v>
      </c>
      <c r="K10" s="6" t="n">
        <f aca="false">(I10+J10)/2</f>
        <v>4.8</v>
      </c>
      <c r="L10" s="7" t="n">
        <f aca="false">K10/$K$22</f>
        <v>0.0457251726601572</v>
      </c>
      <c r="M10" s="4" t="s">
        <v>53</v>
      </c>
      <c r="N10" s="4" t="s">
        <v>54</v>
      </c>
      <c r="O10" s="4" t="s">
        <v>55</v>
      </c>
    </row>
    <row r="11" customFormat="false" ht="78" hidden="false" customHeight="true" outlineLevel="0" collapsed="false">
      <c r="A11" s="4" t="n">
        <v>7</v>
      </c>
      <c r="B11" s="4" t="s">
        <v>56</v>
      </c>
      <c r="C11" s="4" t="s">
        <v>57</v>
      </c>
      <c r="D11" s="4" t="s">
        <v>58</v>
      </c>
      <c r="E11" s="4" t="s">
        <v>59</v>
      </c>
      <c r="F11" s="5" t="n">
        <v>150</v>
      </c>
      <c r="G11" s="5" t="n">
        <v>350</v>
      </c>
      <c r="H11" s="5" t="n">
        <v>400000</v>
      </c>
      <c r="I11" s="6" t="n">
        <f aca="false">F11*H11/10000000</f>
        <v>6</v>
      </c>
      <c r="J11" s="6" t="n">
        <f aca="false">G11*H11/10000000</f>
        <v>14</v>
      </c>
      <c r="K11" s="6" t="n">
        <f aca="false">(I11+J11)/2</f>
        <v>10</v>
      </c>
      <c r="L11" s="7" t="n">
        <f aca="false">K11/$K$22</f>
        <v>0.0952607763753275</v>
      </c>
      <c r="M11" s="4" t="s">
        <v>60</v>
      </c>
      <c r="N11" s="4" t="s">
        <v>61</v>
      </c>
      <c r="O11" s="4" t="s">
        <v>62</v>
      </c>
    </row>
    <row r="12" customFormat="false" ht="78" hidden="false" customHeight="true" outlineLevel="0" collapsed="false">
      <c r="A12" s="4" t="n">
        <v>8</v>
      </c>
      <c r="B12" s="4" t="s">
        <v>63</v>
      </c>
      <c r="C12" s="4" t="s">
        <v>64</v>
      </c>
      <c r="D12" s="4" t="s">
        <v>65</v>
      </c>
      <c r="E12" s="4" t="s">
        <v>66</v>
      </c>
      <c r="F12" s="5" t="n">
        <v>500000</v>
      </c>
      <c r="G12" s="5" t="n">
        <v>900000</v>
      </c>
      <c r="H12" s="5" t="n">
        <v>80</v>
      </c>
      <c r="I12" s="6" t="n">
        <f aca="false">F12*H12/10000000</f>
        <v>4</v>
      </c>
      <c r="J12" s="6" t="n">
        <f aca="false">G12*H12/10000000</f>
        <v>7.2</v>
      </c>
      <c r="K12" s="6" t="n">
        <f aca="false">(I12+J12)/2</f>
        <v>5.6</v>
      </c>
      <c r="L12" s="7" t="n">
        <f aca="false">K12/$K$22</f>
        <v>0.0533460347701834</v>
      </c>
      <c r="M12" s="4" t="s">
        <v>67</v>
      </c>
      <c r="N12" s="4" t="s">
        <v>29</v>
      </c>
      <c r="O12" s="4" t="s">
        <v>68</v>
      </c>
    </row>
    <row r="13" customFormat="false" ht="78" hidden="false" customHeight="true" outlineLevel="0" collapsed="false">
      <c r="A13" s="4" t="n">
        <v>9</v>
      </c>
      <c r="B13" s="4" t="s">
        <v>69</v>
      </c>
      <c r="C13" s="4" t="s">
        <v>70</v>
      </c>
      <c r="D13" s="4" t="s">
        <v>71</v>
      </c>
      <c r="E13" s="4" t="s">
        <v>46</v>
      </c>
      <c r="F13" s="5" t="n">
        <v>300000</v>
      </c>
      <c r="G13" s="5" t="n">
        <v>700000</v>
      </c>
      <c r="H13" s="5" t="n">
        <v>80</v>
      </c>
      <c r="I13" s="6" t="n">
        <f aca="false">F13*H13/10000000</f>
        <v>2.4</v>
      </c>
      <c r="J13" s="6" t="n">
        <f aca="false">G13*H13/10000000</f>
        <v>5.6</v>
      </c>
      <c r="K13" s="6" t="n">
        <f aca="false">(I13+J13)/2</f>
        <v>4</v>
      </c>
      <c r="L13" s="7" t="n">
        <f aca="false">K13/$K$22</f>
        <v>0.038104310550131</v>
      </c>
      <c r="M13" s="4" t="s">
        <v>72</v>
      </c>
      <c r="N13" s="4" t="s">
        <v>29</v>
      </c>
      <c r="O13" s="4" t="s">
        <v>73</v>
      </c>
    </row>
    <row r="14" customFormat="false" ht="78" hidden="false" customHeight="true" outlineLevel="0" collapsed="false">
      <c r="A14" s="4" t="n">
        <v>10</v>
      </c>
      <c r="B14" s="4" t="s">
        <v>74</v>
      </c>
      <c r="C14" s="4" t="s">
        <v>75</v>
      </c>
      <c r="D14" s="4" t="s">
        <v>76</v>
      </c>
      <c r="E14" s="4" t="s">
        <v>46</v>
      </c>
      <c r="F14" s="5" t="n">
        <v>200000</v>
      </c>
      <c r="G14" s="5" t="n">
        <v>400000</v>
      </c>
      <c r="H14" s="5" t="n">
        <v>80</v>
      </c>
      <c r="I14" s="6" t="n">
        <f aca="false">F14*H14/10000000</f>
        <v>1.6</v>
      </c>
      <c r="J14" s="6" t="n">
        <f aca="false">G14*H14/10000000</f>
        <v>3.2</v>
      </c>
      <c r="K14" s="6" t="n">
        <f aca="false">(I14+J14)/2</f>
        <v>2.4</v>
      </c>
      <c r="L14" s="7" t="n">
        <f aca="false">K14/$K$22</f>
        <v>0.0228625863300786</v>
      </c>
      <c r="M14" s="4" t="s">
        <v>77</v>
      </c>
      <c r="N14" s="4" t="s">
        <v>22</v>
      </c>
      <c r="O14" s="4" t="s">
        <v>78</v>
      </c>
    </row>
    <row r="15" customFormat="false" ht="78" hidden="false" customHeight="true" outlineLevel="0" collapsed="false">
      <c r="A15" s="4" t="n">
        <v>11</v>
      </c>
      <c r="B15" s="4" t="s">
        <v>79</v>
      </c>
      <c r="C15" s="4" t="s">
        <v>80</v>
      </c>
      <c r="D15" s="4" t="s">
        <v>81</v>
      </c>
      <c r="E15" s="4" t="s">
        <v>82</v>
      </c>
      <c r="F15" s="5" t="n">
        <v>300000</v>
      </c>
      <c r="G15" s="5" t="n">
        <v>600000</v>
      </c>
      <c r="H15" s="5" t="n">
        <v>25</v>
      </c>
      <c r="I15" s="6" t="n">
        <f aca="false">F15*H15/10000000</f>
        <v>0.75</v>
      </c>
      <c r="J15" s="6" t="n">
        <f aca="false">G15*H15/10000000</f>
        <v>1.5</v>
      </c>
      <c r="K15" s="6" t="n">
        <f aca="false">(I15+J15)/2</f>
        <v>1.125</v>
      </c>
      <c r="L15" s="7" t="n">
        <f aca="false">K15/$K$22</f>
        <v>0.0107168373422243</v>
      </c>
      <c r="M15" s="4" t="s">
        <v>83</v>
      </c>
      <c r="N15" s="4" t="s">
        <v>29</v>
      </c>
      <c r="O15" s="4" t="s">
        <v>78</v>
      </c>
    </row>
    <row r="16" customFormat="false" ht="78" hidden="false" customHeight="true" outlineLevel="0" collapsed="false">
      <c r="A16" s="4" t="n">
        <v>12</v>
      </c>
      <c r="B16" s="4" t="s">
        <v>84</v>
      </c>
      <c r="C16" s="4" t="s">
        <v>85</v>
      </c>
      <c r="D16" s="4" t="s">
        <v>86</v>
      </c>
      <c r="E16" s="4" t="s">
        <v>82</v>
      </c>
      <c r="F16" s="5" t="n">
        <v>400000</v>
      </c>
      <c r="G16" s="5" t="n">
        <v>800000</v>
      </c>
      <c r="H16" s="5" t="n">
        <v>25</v>
      </c>
      <c r="I16" s="6" t="n">
        <f aca="false">F16*H16/10000000</f>
        <v>1</v>
      </c>
      <c r="J16" s="6" t="n">
        <f aca="false">G16*H16/10000000</f>
        <v>2</v>
      </c>
      <c r="K16" s="6" t="n">
        <f aca="false">(I16+J16)/2</f>
        <v>1.5</v>
      </c>
      <c r="L16" s="7" t="n">
        <f aca="false">K16/$K$22</f>
        <v>0.0142891164562991</v>
      </c>
      <c r="M16" s="4" t="s">
        <v>87</v>
      </c>
      <c r="N16" s="4" t="s">
        <v>29</v>
      </c>
      <c r="O16" s="4" t="s">
        <v>78</v>
      </c>
    </row>
    <row r="17" customFormat="false" ht="78" hidden="false" customHeight="true" outlineLevel="0" collapsed="false">
      <c r="A17" s="4" t="n">
        <v>13</v>
      </c>
      <c r="B17" s="4" t="s">
        <v>88</v>
      </c>
      <c r="C17" s="4" t="s">
        <v>89</v>
      </c>
      <c r="D17" s="4" t="s">
        <v>90</v>
      </c>
      <c r="E17" s="4" t="s">
        <v>91</v>
      </c>
      <c r="F17" s="5" t="n">
        <v>400000</v>
      </c>
      <c r="G17" s="5" t="n">
        <v>800000</v>
      </c>
      <c r="H17" s="5" t="n">
        <v>100</v>
      </c>
      <c r="I17" s="6" t="n">
        <f aca="false">F17*H17/10000000</f>
        <v>4</v>
      </c>
      <c r="J17" s="6" t="n">
        <f aca="false">G17*H17/10000000</f>
        <v>8</v>
      </c>
      <c r="K17" s="6" t="n">
        <f aca="false">(I17+J17)/2</f>
        <v>6</v>
      </c>
      <c r="L17" s="7" t="n">
        <f aca="false">K17/$K$22</f>
        <v>0.0571564658251965</v>
      </c>
      <c r="M17" s="4" t="s">
        <v>92</v>
      </c>
      <c r="N17" s="4" t="s">
        <v>29</v>
      </c>
      <c r="O17" s="4" t="s">
        <v>78</v>
      </c>
    </row>
    <row r="18" customFormat="false" ht="78" hidden="false" customHeight="true" outlineLevel="0" collapsed="false">
      <c r="A18" s="4" t="n">
        <v>14</v>
      </c>
      <c r="B18" s="4" t="s">
        <v>93</v>
      </c>
      <c r="C18" s="4" t="s">
        <v>94</v>
      </c>
      <c r="D18" s="4" t="s">
        <v>95</v>
      </c>
      <c r="E18" s="4" t="s">
        <v>96</v>
      </c>
      <c r="F18" s="5" t="n">
        <v>15000000</v>
      </c>
      <c r="G18" s="5" t="n">
        <v>40000000</v>
      </c>
      <c r="H18" s="5" t="n">
        <v>1</v>
      </c>
      <c r="I18" s="6" t="n">
        <f aca="false">F18*H18/10000000</f>
        <v>1.5</v>
      </c>
      <c r="J18" s="6" t="n">
        <f aca="false">G18*H18/10000000</f>
        <v>4</v>
      </c>
      <c r="K18" s="6" t="n">
        <f aca="false">(I18+J18)/2</f>
        <v>2.75</v>
      </c>
      <c r="L18" s="7" t="n">
        <f aca="false">K18/$K$22</f>
        <v>0.0261967135032151</v>
      </c>
      <c r="M18" s="4" t="s">
        <v>97</v>
      </c>
      <c r="N18" s="4" t="s">
        <v>98</v>
      </c>
      <c r="O18" s="4" t="s">
        <v>99</v>
      </c>
    </row>
    <row r="19" customFormat="false" ht="78" hidden="false" customHeight="true" outlineLevel="0" collapsed="false">
      <c r="A19" s="4" t="n">
        <v>15</v>
      </c>
      <c r="B19" s="4" t="s">
        <v>100</v>
      </c>
      <c r="C19" s="4" t="s">
        <v>101</v>
      </c>
      <c r="D19" s="4" t="s">
        <v>102</v>
      </c>
      <c r="E19" s="4" t="s">
        <v>96</v>
      </c>
      <c r="F19" s="5" t="n">
        <v>5000000</v>
      </c>
      <c r="G19" s="5" t="n">
        <v>15000000</v>
      </c>
      <c r="H19" s="5" t="n">
        <v>1</v>
      </c>
      <c r="I19" s="6" t="n">
        <f aca="false">F19*H19/10000000</f>
        <v>0.5</v>
      </c>
      <c r="J19" s="6" t="n">
        <f aca="false">G19*H19/10000000</f>
        <v>1.5</v>
      </c>
      <c r="K19" s="6" t="n">
        <f aca="false">(I19+J19)/2</f>
        <v>1</v>
      </c>
      <c r="L19" s="7" t="n">
        <f aca="false">K19/$K$22</f>
        <v>0.00952607763753275</v>
      </c>
      <c r="M19" s="4" t="s">
        <v>103</v>
      </c>
      <c r="N19" s="4" t="s">
        <v>29</v>
      </c>
      <c r="O19" s="4" t="s">
        <v>104</v>
      </c>
    </row>
    <row r="20" customFormat="false" ht="78" hidden="false" customHeight="true" outlineLevel="0" collapsed="false">
      <c r="A20" s="4" t="n">
        <v>16</v>
      </c>
      <c r="B20" s="4" t="s">
        <v>105</v>
      </c>
      <c r="C20" s="4" t="s">
        <v>106</v>
      </c>
      <c r="D20" s="4" t="s">
        <v>107</v>
      </c>
      <c r="E20" s="4" t="s">
        <v>108</v>
      </c>
      <c r="F20" s="5" t="n">
        <v>50000</v>
      </c>
      <c r="G20" s="5" t="n">
        <v>100000</v>
      </c>
      <c r="H20" s="5" t="n">
        <v>100</v>
      </c>
      <c r="I20" s="6" t="n">
        <f aca="false">F20*H20/10000000</f>
        <v>0.5</v>
      </c>
      <c r="J20" s="6" t="n">
        <f aca="false">G20*H20/10000000</f>
        <v>1</v>
      </c>
      <c r="K20" s="6" t="n">
        <f aca="false">(I20+J20)/2</f>
        <v>0.75</v>
      </c>
      <c r="L20" s="7" t="n">
        <f aca="false">K20/$K$22</f>
        <v>0.00714455822814956</v>
      </c>
      <c r="M20" s="4" t="s">
        <v>109</v>
      </c>
      <c r="N20" s="4" t="s">
        <v>29</v>
      </c>
      <c r="O20" s="4" t="s">
        <v>104</v>
      </c>
    </row>
    <row r="21" customFormat="false" ht="78" hidden="false" customHeight="true" outlineLevel="0" collapsed="false">
      <c r="A21" s="4" t="n">
        <v>17</v>
      </c>
      <c r="B21" s="4" t="s">
        <v>110</v>
      </c>
      <c r="C21" s="4" t="s">
        <v>111</v>
      </c>
      <c r="D21" s="4" t="s">
        <v>112</v>
      </c>
      <c r="E21" s="4" t="s">
        <v>96</v>
      </c>
      <c r="F21" s="5" t="n">
        <v>2000000</v>
      </c>
      <c r="G21" s="5" t="n">
        <v>5000000</v>
      </c>
      <c r="H21" s="5" t="n">
        <v>1</v>
      </c>
      <c r="I21" s="6" t="n">
        <f aca="false">F21*H21/10000000</f>
        <v>0.2</v>
      </c>
      <c r="J21" s="6" t="n">
        <f aca="false">G21*H21/10000000</f>
        <v>0.5</v>
      </c>
      <c r="K21" s="6" t="n">
        <f aca="false">(I21+J21)/2</f>
        <v>0.35</v>
      </c>
      <c r="L21" s="7" t="n">
        <f aca="false">K21/$K$22</f>
        <v>0.00333412717313646</v>
      </c>
      <c r="M21" s="4" t="s">
        <v>113</v>
      </c>
      <c r="N21" s="4" t="s">
        <v>29</v>
      </c>
      <c r="O21" s="4" t="s">
        <v>104</v>
      </c>
    </row>
    <row r="22" customFormat="false" ht="15" hidden="false" customHeight="false" outlineLevel="0" collapsed="false">
      <c r="A22" s="8"/>
      <c r="B22" s="8" t="s">
        <v>114</v>
      </c>
      <c r="C22" s="8"/>
      <c r="D22" s="8"/>
      <c r="E22" s="8"/>
      <c r="F22" s="8"/>
      <c r="G22" s="8"/>
      <c r="H22" s="8"/>
      <c r="I22" s="9" t="n">
        <f aca="false">SUM(I5:I21)</f>
        <v>74.95</v>
      </c>
      <c r="J22" s="9" t="n">
        <f aca="false">SUM(J5:J21)</f>
        <v>135</v>
      </c>
      <c r="K22" s="9" t="n">
        <f aca="false">SUM(K5:K21)</f>
        <v>104.975</v>
      </c>
      <c r="L22" s="10" t="n">
        <f aca="false">SUM(L5:L21)</f>
        <v>1</v>
      </c>
      <c r="M22" s="8"/>
      <c r="N22" s="8"/>
      <c r="O22" s="8"/>
    </row>
    <row r="23" customFormat="false" ht="15" hidden="false" customHeight="false" outlineLevel="0" collapsed="false">
      <c r="B23" s="11" t="s">
        <v>115</v>
      </c>
      <c r="K23" s="12" t="n">
        <f aca="false">K22*100/400</f>
        <v>26.24375</v>
      </c>
    </row>
    <row r="25" customFormat="false" ht="27.75" hidden="false" customHeight="true" outlineLevel="0" collapsed="false">
      <c r="B25" s="13" t="s">
        <v>116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customFormat="false" ht="27.75" hidden="false" customHeight="true" outlineLevel="0" collapsed="false">
      <c r="B26" s="14" t="s">
        <v>117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customFormat="false" ht="27.75" hidden="false" customHeight="true" outlineLevel="0" collapsed="false">
      <c r="B27" s="14" t="s">
        <v>118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customFormat="false" ht="27.75" hidden="false" customHeight="true" outlineLevel="0" collapsed="false">
      <c r="B28" s="14" t="s">
        <v>119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customFormat="false" ht="27.75" hidden="false" customHeight="true" outlineLevel="0" collapsed="false">
      <c r="B29" s="14" t="s">
        <v>120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customFormat="false" ht="15" hidden="false" customHeight="false" outlineLevel="0" collapsed="false">
      <c r="B30" s="15" t="s">
        <v>121</v>
      </c>
    </row>
  </sheetData>
  <mergeCells count="5">
    <mergeCell ref="B25:O25"/>
    <mergeCell ref="B26:O26"/>
    <mergeCell ref="B27:O27"/>
    <mergeCell ref="B28:O28"/>
    <mergeCell ref="B29:O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22"/>
    <col collapsed="false" customWidth="true" hidden="false" outlineLevel="0" max="9" min="9" style="0" width="40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42" hidden="false" customHeight="true" outlineLevel="0" collapsed="false">
      <c r="A4" s="3" t="s">
        <v>2</v>
      </c>
      <c r="B4" s="3" t="s">
        <v>124</v>
      </c>
      <c r="C4" s="3" t="s">
        <v>125</v>
      </c>
      <c r="D4" s="3" t="s">
        <v>126</v>
      </c>
      <c r="E4" s="3" t="s">
        <v>127</v>
      </c>
      <c r="F4" s="3" t="s">
        <v>128</v>
      </c>
      <c r="G4" s="3" t="s">
        <v>129</v>
      </c>
      <c r="H4" s="3" t="s">
        <v>130</v>
      </c>
      <c r="I4" s="3" t="s">
        <v>131</v>
      </c>
      <c r="J4" s="3" t="s">
        <v>132</v>
      </c>
      <c r="K4" s="3" t="s">
        <v>133</v>
      </c>
    </row>
    <row r="5" customFormat="false" ht="39.75" hidden="false" customHeight="true" outlineLevel="0" collapsed="false">
      <c r="A5" s="4" t="n">
        <v>1</v>
      </c>
      <c r="B5" s="4" t="s">
        <v>134</v>
      </c>
      <c r="C5" s="4" t="s">
        <v>135</v>
      </c>
      <c r="D5" s="4" t="s">
        <v>136</v>
      </c>
      <c r="E5" s="4" t="s">
        <v>137</v>
      </c>
      <c r="F5" s="5" t="n">
        <v>40000</v>
      </c>
      <c r="G5" s="5" t="n">
        <v>250000</v>
      </c>
      <c r="H5" s="4" t="s">
        <v>138</v>
      </c>
      <c r="I5" s="4" t="s">
        <v>139</v>
      </c>
      <c r="J5" s="4" t="s">
        <v>140</v>
      </c>
      <c r="K5" s="4" t="s">
        <v>104</v>
      </c>
    </row>
    <row r="6" customFormat="false" ht="39.75" hidden="false" customHeight="true" outlineLevel="0" collapsed="false">
      <c r="A6" s="4" t="n">
        <v>2</v>
      </c>
      <c r="B6" s="4" t="s">
        <v>141</v>
      </c>
      <c r="C6" s="4" t="s">
        <v>135</v>
      </c>
      <c r="D6" s="4" t="s">
        <v>142</v>
      </c>
      <c r="E6" s="4" t="s">
        <v>137</v>
      </c>
      <c r="F6" s="5" t="n">
        <v>5000</v>
      </c>
      <c r="G6" s="5" t="n">
        <v>25000</v>
      </c>
      <c r="H6" s="4" t="s">
        <v>143</v>
      </c>
      <c r="I6" s="4" t="s">
        <v>144</v>
      </c>
      <c r="J6" s="4" t="s">
        <v>140</v>
      </c>
      <c r="K6" s="4" t="s">
        <v>104</v>
      </c>
    </row>
    <row r="7" customFormat="false" ht="39.75" hidden="false" customHeight="true" outlineLevel="0" collapsed="false">
      <c r="A7" s="4" t="n">
        <v>3</v>
      </c>
      <c r="B7" s="4" t="s">
        <v>145</v>
      </c>
      <c r="C7" s="4" t="s">
        <v>135</v>
      </c>
      <c r="D7" s="4" t="s">
        <v>146</v>
      </c>
      <c r="E7" s="4" t="s">
        <v>137</v>
      </c>
      <c r="F7" s="5" t="n">
        <v>30000</v>
      </c>
      <c r="G7" s="5" t="n">
        <v>150000</v>
      </c>
      <c r="H7" s="4" t="s">
        <v>147</v>
      </c>
      <c r="I7" s="4" t="s">
        <v>148</v>
      </c>
      <c r="J7" s="4" t="s">
        <v>149</v>
      </c>
      <c r="K7" s="4" t="s">
        <v>104</v>
      </c>
    </row>
    <row r="8" customFormat="false" ht="39.75" hidden="false" customHeight="true" outlineLevel="0" collapsed="false">
      <c r="A8" s="4" t="n">
        <v>4</v>
      </c>
      <c r="B8" s="4" t="s">
        <v>150</v>
      </c>
      <c r="C8" s="4" t="s">
        <v>151</v>
      </c>
      <c r="D8" s="4" t="s">
        <v>152</v>
      </c>
      <c r="E8" s="4" t="s">
        <v>137</v>
      </c>
      <c r="F8" s="5" t="n">
        <v>3000</v>
      </c>
      <c r="G8" s="5" t="n">
        <v>20000</v>
      </c>
      <c r="H8" s="4" t="s">
        <v>153</v>
      </c>
      <c r="I8" s="4" t="s">
        <v>154</v>
      </c>
      <c r="J8" s="4" t="s">
        <v>140</v>
      </c>
      <c r="K8" s="4" t="s">
        <v>55</v>
      </c>
    </row>
    <row r="9" customFormat="false" ht="39.75" hidden="false" customHeight="true" outlineLevel="0" collapsed="false">
      <c r="A9" s="4" t="n">
        <v>5</v>
      </c>
      <c r="B9" s="4" t="s">
        <v>155</v>
      </c>
      <c r="C9" s="4" t="s">
        <v>156</v>
      </c>
      <c r="D9" s="4" t="s">
        <v>157</v>
      </c>
      <c r="E9" s="4" t="s">
        <v>137</v>
      </c>
      <c r="F9" s="5" t="n">
        <v>8000</v>
      </c>
      <c r="G9" s="5" t="n">
        <v>40000</v>
      </c>
      <c r="H9" s="4" t="s">
        <v>158</v>
      </c>
      <c r="I9" s="4" t="s">
        <v>159</v>
      </c>
      <c r="J9" s="4" t="s">
        <v>140</v>
      </c>
      <c r="K9" s="4" t="s">
        <v>104</v>
      </c>
    </row>
    <row r="10" customFormat="false" ht="39.75" hidden="false" customHeight="true" outlineLevel="0" collapsed="false">
      <c r="A10" s="4" t="n">
        <v>6</v>
      </c>
      <c r="B10" s="4" t="s">
        <v>160</v>
      </c>
      <c r="C10" s="4" t="s">
        <v>161</v>
      </c>
      <c r="D10" s="4" t="s">
        <v>162</v>
      </c>
      <c r="E10" s="4" t="s">
        <v>137</v>
      </c>
      <c r="F10" s="5" t="n">
        <v>8000</v>
      </c>
      <c r="G10" s="5" t="n">
        <v>60000</v>
      </c>
      <c r="H10" s="4" t="s">
        <v>163</v>
      </c>
      <c r="I10" s="4" t="s">
        <v>164</v>
      </c>
      <c r="J10" s="4" t="s">
        <v>149</v>
      </c>
      <c r="K10" s="4" t="s">
        <v>104</v>
      </c>
    </row>
    <row r="11" customFormat="false" ht="39.75" hidden="false" customHeight="true" outlineLevel="0" collapsed="false">
      <c r="A11" s="4" t="n">
        <v>7</v>
      </c>
      <c r="B11" s="4" t="s">
        <v>165</v>
      </c>
      <c r="C11" s="4" t="s">
        <v>161</v>
      </c>
      <c r="D11" s="4" t="s">
        <v>166</v>
      </c>
      <c r="E11" s="4" t="s">
        <v>167</v>
      </c>
      <c r="F11" s="5" t="n">
        <v>2000</v>
      </c>
      <c r="G11" s="5" t="n">
        <v>10000</v>
      </c>
      <c r="H11" s="4" t="s">
        <v>163</v>
      </c>
      <c r="I11" s="4" t="s">
        <v>168</v>
      </c>
      <c r="J11" s="4" t="s">
        <v>149</v>
      </c>
      <c r="K11" s="4" t="s">
        <v>104</v>
      </c>
    </row>
    <row r="12" customFormat="false" ht="39.75" hidden="false" customHeight="true" outlineLevel="0" collapsed="false">
      <c r="A12" s="4" t="n">
        <v>8</v>
      </c>
      <c r="B12" s="4" t="s">
        <v>169</v>
      </c>
      <c r="C12" s="4" t="s">
        <v>170</v>
      </c>
      <c r="D12" s="4" t="s">
        <v>171</v>
      </c>
      <c r="E12" s="4" t="s">
        <v>137</v>
      </c>
      <c r="F12" s="5" t="n">
        <v>40000</v>
      </c>
      <c r="G12" s="5" t="n">
        <v>200000</v>
      </c>
      <c r="H12" s="4" t="s">
        <v>172</v>
      </c>
      <c r="I12" s="4" t="s">
        <v>173</v>
      </c>
      <c r="J12" s="4" t="s">
        <v>140</v>
      </c>
      <c r="K12" s="4" t="s">
        <v>104</v>
      </c>
    </row>
    <row r="13" customFormat="false" ht="39.75" hidden="false" customHeight="true" outlineLevel="0" collapsed="false">
      <c r="A13" s="4" t="n">
        <v>9</v>
      </c>
      <c r="B13" s="4" t="s">
        <v>174</v>
      </c>
      <c r="C13" s="4" t="s">
        <v>170</v>
      </c>
      <c r="D13" s="4" t="s">
        <v>175</v>
      </c>
      <c r="E13" s="4" t="s">
        <v>176</v>
      </c>
      <c r="F13" s="5" t="n">
        <v>150</v>
      </c>
      <c r="G13" s="5" t="n">
        <v>400</v>
      </c>
      <c r="H13" s="4" t="s">
        <v>177</v>
      </c>
      <c r="I13" s="4" t="s">
        <v>178</v>
      </c>
      <c r="J13" s="4" t="s">
        <v>179</v>
      </c>
      <c r="K13" s="4" t="s">
        <v>104</v>
      </c>
    </row>
    <row r="14" customFormat="false" ht="39.75" hidden="false" customHeight="true" outlineLevel="0" collapsed="false">
      <c r="A14" s="4" t="n">
        <v>10</v>
      </c>
      <c r="B14" s="4" t="s">
        <v>180</v>
      </c>
      <c r="C14" s="4" t="s">
        <v>181</v>
      </c>
      <c r="D14" s="4" t="s">
        <v>182</v>
      </c>
      <c r="E14" s="4" t="s">
        <v>137</v>
      </c>
      <c r="F14" s="5" t="n">
        <v>500</v>
      </c>
      <c r="G14" s="5" t="n">
        <v>3000</v>
      </c>
      <c r="H14" s="4" t="s">
        <v>183</v>
      </c>
      <c r="I14" s="4" t="s">
        <v>184</v>
      </c>
      <c r="J14" s="4" t="s">
        <v>179</v>
      </c>
      <c r="K14" s="4" t="s">
        <v>104</v>
      </c>
    </row>
    <row r="15" customFormat="false" ht="39.75" hidden="false" customHeight="true" outlineLevel="0" collapsed="false">
      <c r="A15" s="4" t="n">
        <v>11</v>
      </c>
      <c r="B15" s="4" t="s">
        <v>185</v>
      </c>
      <c r="C15" s="4" t="s">
        <v>186</v>
      </c>
      <c r="D15" s="4" t="s">
        <v>187</v>
      </c>
      <c r="E15" s="4" t="s">
        <v>188</v>
      </c>
      <c r="F15" s="5" t="n">
        <v>30000</v>
      </c>
      <c r="G15" s="5" t="n">
        <v>90000</v>
      </c>
      <c r="H15" s="4" t="s">
        <v>189</v>
      </c>
      <c r="I15" s="4" t="s">
        <v>190</v>
      </c>
      <c r="J15" s="4" t="s">
        <v>191</v>
      </c>
      <c r="K15" s="4" t="s">
        <v>192</v>
      </c>
    </row>
    <row r="16" customFormat="false" ht="39.75" hidden="false" customHeight="true" outlineLevel="0" collapsed="false">
      <c r="A16" s="4" t="n">
        <v>12</v>
      </c>
      <c r="B16" s="4" t="s">
        <v>193</v>
      </c>
      <c r="C16" s="4" t="s">
        <v>194</v>
      </c>
      <c r="D16" s="4" t="s">
        <v>195</v>
      </c>
      <c r="E16" s="4" t="s">
        <v>137</v>
      </c>
      <c r="F16" s="5" t="n">
        <v>5000</v>
      </c>
      <c r="G16" s="5" t="n">
        <v>40000</v>
      </c>
      <c r="H16" s="4" t="s">
        <v>153</v>
      </c>
      <c r="I16" s="4" t="s">
        <v>196</v>
      </c>
      <c r="J16" s="4" t="s">
        <v>140</v>
      </c>
      <c r="K16" s="4" t="s">
        <v>104</v>
      </c>
    </row>
    <row r="17" customFormat="false" ht="39.75" hidden="false" customHeight="true" outlineLevel="0" collapsed="false">
      <c r="A17" s="4" t="n">
        <v>13</v>
      </c>
      <c r="B17" s="4" t="s">
        <v>197</v>
      </c>
      <c r="C17" s="4" t="s">
        <v>198</v>
      </c>
      <c r="D17" s="4" t="s">
        <v>199</v>
      </c>
      <c r="E17" s="4" t="s">
        <v>137</v>
      </c>
      <c r="F17" s="5" t="n">
        <v>2000</v>
      </c>
      <c r="G17" s="5" t="n">
        <v>15000</v>
      </c>
      <c r="H17" s="4" t="s">
        <v>153</v>
      </c>
      <c r="I17" s="4" t="s">
        <v>200</v>
      </c>
      <c r="J17" s="4" t="s">
        <v>140</v>
      </c>
      <c r="K17" s="4" t="s">
        <v>104</v>
      </c>
    </row>
    <row r="18" customFormat="false" ht="39.75" hidden="false" customHeight="true" outlineLevel="0" collapsed="false">
      <c r="A18" s="4" t="n">
        <v>14</v>
      </c>
      <c r="B18" s="4" t="s">
        <v>201</v>
      </c>
      <c r="C18" s="4" t="s">
        <v>202</v>
      </c>
      <c r="D18" s="4" t="s">
        <v>203</v>
      </c>
      <c r="E18" s="4" t="s">
        <v>137</v>
      </c>
      <c r="F18" s="5" t="n">
        <v>20000</v>
      </c>
      <c r="G18" s="5" t="n">
        <v>300000</v>
      </c>
      <c r="H18" s="4" t="s">
        <v>204</v>
      </c>
      <c r="I18" s="4" t="s">
        <v>205</v>
      </c>
      <c r="J18" s="4" t="s">
        <v>179</v>
      </c>
      <c r="K18" s="4" t="s">
        <v>104</v>
      </c>
    </row>
    <row r="19" customFormat="false" ht="39.75" hidden="false" customHeight="true" outlineLevel="0" collapsed="false">
      <c r="A19" s="4" t="n">
        <v>15</v>
      </c>
      <c r="B19" s="4" t="s">
        <v>206</v>
      </c>
      <c r="C19" s="4" t="s">
        <v>207</v>
      </c>
      <c r="D19" s="4" t="s">
        <v>208</v>
      </c>
      <c r="E19" s="4" t="s">
        <v>137</v>
      </c>
      <c r="F19" s="5" t="n">
        <v>50000</v>
      </c>
      <c r="G19" s="5" t="n">
        <v>600000</v>
      </c>
      <c r="H19" s="4" t="s">
        <v>204</v>
      </c>
      <c r="I19" s="4" t="s">
        <v>209</v>
      </c>
      <c r="J19" s="4" t="s">
        <v>179</v>
      </c>
      <c r="K19" s="4" t="s">
        <v>55</v>
      </c>
    </row>
    <row r="20" customFormat="false" ht="39.75" hidden="false" customHeight="true" outlineLevel="0" collapsed="false">
      <c r="A20" s="4" t="n">
        <v>16</v>
      </c>
      <c r="B20" s="4" t="s">
        <v>210</v>
      </c>
      <c r="C20" s="4" t="s">
        <v>211</v>
      </c>
      <c r="D20" s="4" t="s">
        <v>212</v>
      </c>
      <c r="E20" s="4" t="s">
        <v>167</v>
      </c>
      <c r="F20" s="5" t="n">
        <v>30000</v>
      </c>
      <c r="G20" s="5" t="n">
        <v>300000</v>
      </c>
      <c r="H20" s="4" t="s">
        <v>213</v>
      </c>
      <c r="I20" s="4" t="s">
        <v>214</v>
      </c>
      <c r="J20" s="4" t="s">
        <v>179</v>
      </c>
      <c r="K20" s="4" t="s">
        <v>104</v>
      </c>
    </row>
    <row r="21" customFormat="false" ht="39.75" hidden="false" customHeight="true" outlineLevel="0" collapsed="false">
      <c r="A21" s="4" t="n">
        <v>17</v>
      </c>
      <c r="B21" s="4" t="s">
        <v>215</v>
      </c>
      <c r="C21" s="4" t="s">
        <v>216</v>
      </c>
      <c r="D21" s="4" t="s">
        <v>217</v>
      </c>
      <c r="E21" s="4" t="s">
        <v>137</v>
      </c>
      <c r="F21" s="5" t="n">
        <v>5000</v>
      </c>
      <c r="G21" s="5" t="n">
        <v>80000</v>
      </c>
      <c r="H21" s="4" t="s">
        <v>153</v>
      </c>
      <c r="I21" s="4" t="s">
        <v>218</v>
      </c>
      <c r="J21" s="4" t="s">
        <v>140</v>
      </c>
      <c r="K21" s="4" t="s">
        <v>104</v>
      </c>
    </row>
    <row r="22" customFormat="false" ht="39.75" hidden="false" customHeight="true" outlineLevel="0" collapsed="false">
      <c r="A22" s="4" t="n">
        <v>18</v>
      </c>
      <c r="B22" s="4" t="s">
        <v>219</v>
      </c>
      <c r="C22" s="4" t="s">
        <v>220</v>
      </c>
      <c r="D22" s="4" t="s">
        <v>221</v>
      </c>
      <c r="E22" s="4" t="s">
        <v>137</v>
      </c>
      <c r="F22" s="5" t="n">
        <v>200000</v>
      </c>
      <c r="G22" s="5" t="n">
        <v>800000</v>
      </c>
      <c r="H22" s="4" t="s">
        <v>222</v>
      </c>
      <c r="I22" s="4" t="s">
        <v>223</v>
      </c>
      <c r="J22" s="4" t="s">
        <v>140</v>
      </c>
      <c r="K22" s="4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50"/>
    <col collapsed="false" customWidth="true" hidden="false" outlineLevel="0" max="7" min="7" style="0" width="40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225</v>
      </c>
    </row>
    <row r="2" customFormat="false" ht="15" hidden="false" customHeight="false" outlineLevel="0" collapsed="false">
      <c r="A2" s="2" t="s">
        <v>226</v>
      </c>
    </row>
    <row r="4" customFormat="false" ht="42" hidden="false" customHeight="true" outlineLevel="0" collapsed="false">
      <c r="A4" s="3" t="s">
        <v>2</v>
      </c>
      <c r="B4" s="3" t="s">
        <v>227</v>
      </c>
      <c r="C4" s="3" t="s">
        <v>228</v>
      </c>
      <c r="D4" s="3" t="s">
        <v>229</v>
      </c>
      <c r="E4" s="3" t="s">
        <v>230</v>
      </c>
      <c r="F4" s="3" t="s">
        <v>231</v>
      </c>
      <c r="G4" s="3" t="s">
        <v>232</v>
      </c>
      <c r="H4" s="3" t="s">
        <v>133</v>
      </c>
    </row>
    <row r="5" customFormat="false" ht="39.75" hidden="false" customHeight="true" outlineLevel="0" collapsed="false">
      <c r="A5" s="4" t="n">
        <v>1</v>
      </c>
      <c r="B5" s="4" t="s">
        <v>233</v>
      </c>
      <c r="C5" s="4" t="s">
        <v>234</v>
      </c>
      <c r="D5" s="4" t="s">
        <v>235</v>
      </c>
      <c r="E5" s="4" t="s">
        <v>236</v>
      </c>
      <c r="F5" s="4" t="s">
        <v>237</v>
      </c>
      <c r="G5" s="4" t="s">
        <v>238</v>
      </c>
      <c r="H5" s="4" t="s">
        <v>239</v>
      </c>
    </row>
    <row r="6" customFormat="false" ht="39.75" hidden="false" customHeight="true" outlineLevel="0" collapsed="false">
      <c r="A6" s="4" t="n">
        <v>2</v>
      </c>
      <c r="B6" s="4" t="s">
        <v>240</v>
      </c>
      <c r="C6" s="4" t="s">
        <v>234</v>
      </c>
      <c r="D6" s="4" t="s">
        <v>241</v>
      </c>
      <c r="E6" s="4" t="s">
        <v>242</v>
      </c>
      <c r="F6" s="4" t="s">
        <v>243</v>
      </c>
      <c r="G6" s="4" t="s">
        <v>244</v>
      </c>
      <c r="H6" s="4" t="s">
        <v>245</v>
      </c>
    </row>
    <row r="7" customFormat="false" ht="39.75" hidden="false" customHeight="true" outlineLevel="0" collapsed="false">
      <c r="A7" s="4" t="n">
        <v>3</v>
      </c>
      <c r="B7" s="4" t="s">
        <v>246</v>
      </c>
      <c r="C7" s="4" t="s">
        <v>234</v>
      </c>
      <c r="D7" s="4" t="s">
        <v>247</v>
      </c>
      <c r="E7" s="4" t="s">
        <v>242</v>
      </c>
      <c r="F7" s="4" t="s">
        <v>248</v>
      </c>
      <c r="G7" s="4" t="s">
        <v>249</v>
      </c>
      <c r="H7" s="4" t="s">
        <v>250</v>
      </c>
    </row>
    <row r="8" customFormat="false" ht="39.75" hidden="false" customHeight="true" outlineLevel="0" collapsed="false">
      <c r="A8" s="4" t="n">
        <v>4</v>
      </c>
      <c r="B8" s="4" t="s">
        <v>251</v>
      </c>
      <c r="C8" s="4" t="s">
        <v>252</v>
      </c>
      <c r="D8" s="4" t="s">
        <v>253</v>
      </c>
      <c r="E8" s="4" t="s">
        <v>236</v>
      </c>
      <c r="F8" s="4" t="s">
        <v>254</v>
      </c>
      <c r="G8" s="4" t="s">
        <v>255</v>
      </c>
      <c r="H8" s="4" t="s">
        <v>256</v>
      </c>
    </row>
    <row r="9" customFormat="false" ht="39.75" hidden="false" customHeight="true" outlineLevel="0" collapsed="false">
      <c r="A9" s="4" t="n">
        <v>5</v>
      </c>
      <c r="B9" s="4" t="s">
        <v>257</v>
      </c>
      <c r="C9" s="4" t="s">
        <v>234</v>
      </c>
      <c r="D9" s="4" t="s">
        <v>258</v>
      </c>
      <c r="E9" s="4" t="s">
        <v>242</v>
      </c>
      <c r="F9" s="4" t="s">
        <v>259</v>
      </c>
      <c r="G9" s="4" t="s">
        <v>260</v>
      </c>
      <c r="H9" s="4" t="s">
        <v>261</v>
      </c>
    </row>
    <row r="10" customFormat="false" ht="39.75" hidden="false" customHeight="true" outlineLevel="0" collapsed="false">
      <c r="A10" s="4" t="n">
        <v>6</v>
      </c>
      <c r="B10" s="4" t="s">
        <v>262</v>
      </c>
      <c r="C10" s="4" t="s">
        <v>234</v>
      </c>
      <c r="D10" s="4" t="s">
        <v>263</v>
      </c>
      <c r="E10" s="4" t="s">
        <v>236</v>
      </c>
      <c r="F10" s="4" t="s">
        <v>264</v>
      </c>
      <c r="G10" s="4" t="s">
        <v>265</v>
      </c>
      <c r="H10" s="4" t="s">
        <v>266</v>
      </c>
    </row>
    <row r="11" customFormat="false" ht="39.75" hidden="false" customHeight="true" outlineLevel="0" collapsed="false">
      <c r="A11" s="4" t="n">
        <v>7</v>
      </c>
      <c r="B11" s="4" t="s">
        <v>267</v>
      </c>
      <c r="C11" s="4" t="s">
        <v>234</v>
      </c>
      <c r="D11" s="4" t="s">
        <v>268</v>
      </c>
      <c r="E11" s="4" t="s">
        <v>269</v>
      </c>
      <c r="F11" s="4" t="s">
        <v>270</v>
      </c>
      <c r="G11" s="4" t="s">
        <v>265</v>
      </c>
      <c r="H11" s="4" t="s">
        <v>266</v>
      </c>
    </row>
    <row r="12" customFormat="false" ht="39.75" hidden="false" customHeight="true" outlineLevel="0" collapsed="false">
      <c r="A12" s="4" t="n">
        <v>8</v>
      </c>
      <c r="B12" s="4" t="s">
        <v>271</v>
      </c>
      <c r="C12" s="4" t="s">
        <v>234</v>
      </c>
      <c r="D12" s="4" t="s">
        <v>272</v>
      </c>
      <c r="E12" s="4" t="s">
        <v>273</v>
      </c>
      <c r="F12" s="4" t="s">
        <v>274</v>
      </c>
      <c r="G12" s="4" t="s">
        <v>275</v>
      </c>
      <c r="H12" s="4" t="s">
        <v>276</v>
      </c>
    </row>
    <row r="13" customFormat="false" ht="39.75" hidden="false" customHeight="true" outlineLevel="0" collapsed="false">
      <c r="A13" s="4" t="n">
        <v>9</v>
      </c>
      <c r="B13" s="4" t="s">
        <v>277</v>
      </c>
      <c r="C13" s="4" t="s">
        <v>234</v>
      </c>
      <c r="D13" s="4" t="s">
        <v>278</v>
      </c>
      <c r="E13" s="4" t="s">
        <v>236</v>
      </c>
      <c r="F13" s="4" t="s">
        <v>279</v>
      </c>
      <c r="G13" s="4" t="s">
        <v>280</v>
      </c>
      <c r="H13" s="4" t="s">
        <v>281</v>
      </c>
    </row>
    <row r="14" customFormat="false" ht="39.75" hidden="false" customHeight="true" outlineLevel="0" collapsed="false">
      <c r="A14" s="4" t="n">
        <v>10</v>
      </c>
      <c r="B14" s="4" t="s">
        <v>282</v>
      </c>
      <c r="C14" s="4" t="s">
        <v>234</v>
      </c>
      <c r="D14" s="4" t="s">
        <v>283</v>
      </c>
      <c r="E14" s="4" t="s">
        <v>236</v>
      </c>
      <c r="F14" s="4" t="s">
        <v>284</v>
      </c>
      <c r="G14" s="4" t="s">
        <v>285</v>
      </c>
      <c r="H14" s="4" t="s">
        <v>286</v>
      </c>
    </row>
    <row r="15" customFormat="false" ht="39.75" hidden="false" customHeight="true" outlineLevel="0" collapsed="false">
      <c r="A15" s="4" t="n">
        <v>11</v>
      </c>
      <c r="B15" s="4" t="s">
        <v>287</v>
      </c>
      <c r="C15" s="4" t="s">
        <v>234</v>
      </c>
      <c r="D15" s="4" t="s">
        <v>288</v>
      </c>
      <c r="E15" s="4" t="s">
        <v>289</v>
      </c>
      <c r="F15" s="4" t="s">
        <v>290</v>
      </c>
      <c r="G15" s="4" t="s">
        <v>275</v>
      </c>
      <c r="H15" s="4" t="s">
        <v>291</v>
      </c>
    </row>
    <row r="16" customFormat="false" ht="39.75" hidden="false" customHeight="true" outlineLevel="0" collapsed="false">
      <c r="A16" s="4" t="n">
        <v>12</v>
      </c>
      <c r="B16" s="4" t="s">
        <v>292</v>
      </c>
      <c r="C16" s="4" t="s">
        <v>234</v>
      </c>
      <c r="D16" s="4" t="s">
        <v>293</v>
      </c>
      <c r="E16" s="4" t="s">
        <v>289</v>
      </c>
      <c r="F16" s="4" t="s">
        <v>294</v>
      </c>
      <c r="G16" s="4" t="s">
        <v>295</v>
      </c>
      <c r="H16" s="4" t="s">
        <v>296</v>
      </c>
    </row>
    <row r="17" customFormat="false" ht="39.75" hidden="false" customHeight="true" outlineLevel="0" collapsed="false">
      <c r="A17" s="4" t="n">
        <v>13</v>
      </c>
      <c r="B17" s="4" t="s">
        <v>297</v>
      </c>
      <c r="C17" s="4" t="s">
        <v>298</v>
      </c>
      <c r="D17" s="4" t="s">
        <v>299</v>
      </c>
      <c r="E17" s="4" t="s">
        <v>289</v>
      </c>
      <c r="F17" s="4" t="s">
        <v>300</v>
      </c>
      <c r="G17" s="4" t="s">
        <v>301</v>
      </c>
      <c r="H17" s="4" t="s">
        <v>302</v>
      </c>
    </row>
    <row r="18" customFormat="false" ht="39.75" hidden="false" customHeight="true" outlineLevel="0" collapsed="false">
      <c r="A18" s="4" t="n">
        <v>14</v>
      </c>
      <c r="B18" s="4" t="s">
        <v>303</v>
      </c>
      <c r="C18" s="4" t="s">
        <v>234</v>
      </c>
      <c r="D18" s="4" t="s">
        <v>304</v>
      </c>
      <c r="E18" s="4" t="s">
        <v>236</v>
      </c>
      <c r="F18" s="4" t="s">
        <v>305</v>
      </c>
      <c r="G18" s="4" t="s">
        <v>306</v>
      </c>
      <c r="H18" s="4" t="s">
        <v>307</v>
      </c>
    </row>
    <row r="19" customFormat="false" ht="39.75" hidden="false" customHeight="true" outlineLevel="0" collapsed="false">
      <c r="A19" s="4" t="n">
        <v>15</v>
      </c>
      <c r="B19" s="4" t="s">
        <v>308</v>
      </c>
      <c r="C19" s="4" t="s">
        <v>234</v>
      </c>
      <c r="D19" s="4" t="s">
        <v>309</v>
      </c>
      <c r="E19" s="4" t="s">
        <v>236</v>
      </c>
      <c r="F19" s="4" t="s">
        <v>310</v>
      </c>
      <c r="G19" s="4" t="s">
        <v>311</v>
      </c>
      <c r="H19" s="4" t="s">
        <v>312</v>
      </c>
    </row>
    <row r="20" customFormat="false" ht="39.75" hidden="false" customHeight="true" outlineLevel="0" collapsed="false">
      <c r="A20" s="4" t="n">
        <v>16</v>
      </c>
      <c r="B20" s="4" t="s">
        <v>313</v>
      </c>
      <c r="C20" s="4" t="s">
        <v>234</v>
      </c>
      <c r="D20" s="4" t="s">
        <v>314</v>
      </c>
      <c r="E20" s="4" t="s">
        <v>315</v>
      </c>
      <c r="F20" s="4" t="s">
        <v>316</v>
      </c>
      <c r="G20" s="4" t="s">
        <v>275</v>
      </c>
      <c r="H20" s="4" t="s">
        <v>317</v>
      </c>
    </row>
    <row r="21" customFormat="false" ht="39.75" hidden="false" customHeight="true" outlineLevel="0" collapsed="false">
      <c r="A21" s="4" t="n">
        <v>17</v>
      </c>
      <c r="B21" s="4" t="s">
        <v>318</v>
      </c>
      <c r="C21" s="4" t="s">
        <v>319</v>
      </c>
      <c r="D21" s="4" t="s">
        <v>320</v>
      </c>
      <c r="E21" s="4" t="s">
        <v>242</v>
      </c>
      <c r="F21" s="4" t="s">
        <v>321</v>
      </c>
      <c r="G21" s="4" t="s">
        <v>322</v>
      </c>
      <c r="H21" s="4" t="s">
        <v>323</v>
      </c>
    </row>
    <row r="22" customFormat="false" ht="39.75" hidden="false" customHeight="true" outlineLevel="0" collapsed="false">
      <c r="A22" s="4" t="n">
        <v>18</v>
      </c>
      <c r="B22" s="4" t="s">
        <v>324</v>
      </c>
      <c r="C22" s="4" t="s">
        <v>325</v>
      </c>
      <c r="D22" s="4" t="s">
        <v>326</v>
      </c>
      <c r="E22" s="4" t="s">
        <v>327</v>
      </c>
      <c r="F22" s="4" t="s">
        <v>328</v>
      </c>
      <c r="G22" s="4" t="s">
        <v>329</v>
      </c>
      <c r="H22" s="4" t="s">
        <v>330</v>
      </c>
    </row>
    <row r="23" customFormat="false" ht="39.75" hidden="false" customHeight="true" outlineLevel="0" collapsed="false">
      <c r="A23" s="4" t="n">
        <v>19</v>
      </c>
      <c r="B23" s="4" t="s">
        <v>331</v>
      </c>
      <c r="C23" s="4" t="s">
        <v>234</v>
      </c>
      <c r="D23" s="4" t="s">
        <v>278</v>
      </c>
      <c r="E23" s="4" t="s">
        <v>332</v>
      </c>
      <c r="F23" s="4" t="s">
        <v>333</v>
      </c>
      <c r="G23" s="4" t="s">
        <v>334</v>
      </c>
      <c r="H23" s="4" t="s">
        <v>335</v>
      </c>
    </row>
    <row r="24" customFormat="false" ht="39.75" hidden="false" customHeight="true" outlineLevel="0" collapsed="false">
      <c r="A24" s="4" t="n">
        <v>20</v>
      </c>
      <c r="B24" s="4" t="s">
        <v>336</v>
      </c>
      <c r="C24" s="4" t="s">
        <v>234</v>
      </c>
      <c r="D24" s="4" t="s">
        <v>337</v>
      </c>
      <c r="E24" s="4" t="s">
        <v>289</v>
      </c>
      <c r="F24" s="4" t="s">
        <v>338</v>
      </c>
      <c r="G24" s="4" t="s">
        <v>339</v>
      </c>
      <c r="H24" s="4" t="s">
        <v>340</v>
      </c>
    </row>
    <row r="25" customFormat="false" ht="39.75" hidden="false" customHeight="true" outlineLevel="0" collapsed="false">
      <c r="A25" s="4" t="n">
        <v>21</v>
      </c>
      <c r="B25" s="4" t="s">
        <v>341</v>
      </c>
      <c r="C25" s="4" t="s">
        <v>234</v>
      </c>
      <c r="D25" s="4" t="s">
        <v>342</v>
      </c>
      <c r="E25" s="4" t="s">
        <v>242</v>
      </c>
      <c r="F25" s="4" t="s">
        <v>343</v>
      </c>
      <c r="G25" s="4" t="s">
        <v>344</v>
      </c>
      <c r="H25" s="4" t="s">
        <v>345</v>
      </c>
    </row>
    <row r="26" customFormat="false" ht="39.75" hidden="false" customHeight="true" outlineLevel="0" collapsed="false">
      <c r="A26" s="4" t="n">
        <v>22</v>
      </c>
      <c r="B26" s="4" t="s">
        <v>346</v>
      </c>
      <c r="C26" s="4" t="s">
        <v>234</v>
      </c>
      <c r="D26" s="4" t="s">
        <v>347</v>
      </c>
      <c r="E26" s="4" t="s">
        <v>348</v>
      </c>
      <c r="F26" s="4" t="s">
        <v>349</v>
      </c>
      <c r="G26" s="4" t="s">
        <v>350</v>
      </c>
      <c r="H26" s="4" t="s">
        <v>351</v>
      </c>
    </row>
    <row r="27" customFormat="false" ht="39.75" hidden="false" customHeight="true" outlineLevel="0" collapsed="false">
      <c r="A27" s="4" t="n">
        <v>23</v>
      </c>
      <c r="B27" s="4" t="s">
        <v>352</v>
      </c>
      <c r="C27" s="4" t="s">
        <v>353</v>
      </c>
      <c r="D27" s="4" t="s">
        <v>354</v>
      </c>
      <c r="E27" s="4" t="s">
        <v>242</v>
      </c>
      <c r="F27" s="4" t="s">
        <v>355</v>
      </c>
      <c r="G27" s="4" t="s">
        <v>356</v>
      </c>
      <c r="H27" s="4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6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358</v>
      </c>
    </row>
    <row r="2" customFormat="false" ht="15" hidden="false" customHeight="false" outlineLevel="0" collapsed="false">
      <c r="A2" s="2" t="s">
        <v>359</v>
      </c>
    </row>
    <row r="4" customFormat="false" ht="42" hidden="false" customHeight="true" outlineLevel="0" collapsed="false">
      <c r="A4" s="3" t="s">
        <v>360</v>
      </c>
      <c r="B4" s="3" t="s">
        <v>361</v>
      </c>
      <c r="C4" s="3" t="s">
        <v>362</v>
      </c>
      <c r="D4" s="3" t="s">
        <v>363</v>
      </c>
      <c r="E4" s="3" t="s">
        <v>133</v>
      </c>
    </row>
    <row r="5" customFormat="false" ht="45.75" hidden="false" customHeight="true" outlineLevel="0" collapsed="false">
      <c r="A5" s="4" t="s">
        <v>364</v>
      </c>
      <c r="B5" s="16" t="s">
        <v>365</v>
      </c>
      <c r="C5" s="4" t="s">
        <v>366</v>
      </c>
      <c r="D5" s="4" t="s">
        <v>367</v>
      </c>
      <c r="E5" s="4" t="s">
        <v>368</v>
      </c>
    </row>
    <row r="6" customFormat="false" ht="45.75" hidden="false" customHeight="true" outlineLevel="0" collapsed="false">
      <c r="A6" s="4" t="s">
        <v>369</v>
      </c>
      <c r="B6" s="17" t="s">
        <v>370</v>
      </c>
      <c r="C6" s="4" t="s">
        <v>371</v>
      </c>
      <c r="D6" s="4" t="s">
        <v>372</v>
      </c>
      <c r="E6" s="4" t="s">
        <v>373</v>
      </c>
    </row>
    <row r="7" customFormat="false" ht="45.75" hidden="false" customHeight="true" outlineLevel="0" collapsed="false">
      <c r="A7" s="4" t="s">
        <v>161</v>
      </c>
      <c r="B7" s="16" t="s">
        <v>374</v>
      </c>
      <c r="C7" s="4" t="s">
        <v>371</v>
      </c>
      <c r="D7" s="4" t="s">
        <v>375</v>
      </c>
      <c r="E7" s="4" t="s">
        <v>376</v>
      </c>
    </row>
    <row r="8" customFormat="false" ht="45.75" hidden="false" customHeight="true" outlineLevel="0" collapsed="false">
      <c r="A8" s="4" t="s">
        <v>135</v>
      </c>
      <c r="B8" s="16" t="s">
        <v>22</v>
      </c>
      <c r="C8" s="4" t="s">
        <v>377</v>
      </c>
      <c r="D8" s="4" t="s">
        <v>378</v>
      </c>
      <c r="E8" s="4" t="s">
        <v>379</v>
      </c>
    </row>
    <row r="9" customFormat="false" ht="45.75" hidden="false" customHeight="true" outlineLevel="0" collapsed="false">
      <c r="A9" s="4" t="s">
        <v>380</v>
      </c>
      <c r="B9" s="16" t="s">
        <v>29</v>
      </c>
      <c r="C9" s="4" t="s">
        <v>381</v>
      </c>
      <c r="D9" s="4" t="s">
        <v>382</v>
      </c>
      <c r="E9" s="4" t="s">
        <v>383</v>
      </c>
    </row>
    <row r="10" customFormat="false" ht="45.75" hidden="false" customHeight="true" outlineLevel="0" collapsed="false">
      <c r="A10" s="4" t="s">
        <v>384</v>
      </c>
      <c r="B10" s="16" t="s">
        <v>29</v>
      </c>
      <c r="C10" s="4" t="s">
        <v>381</v>
      </c>
      <c r="D10" s="4" t="s">
        <v>385</v>
      </c>
      <c r="E10" s="4" t="s">
        <v>386</v>
      </c>
    </row>
    <row r="11" customFormat="false" ht="45.75" hidden="false" customHeight="true" outlineLevel="0" collapsed="false">
      <c r="A11" s="4" t="s">
        <v>387</v>
      </c>
      <c r="B11" s="16" t="s">
        <v>29</v>
      </c>
      <c r="C11" s="4" t="s">
        <v>388</v>
      </c>
      <c r="D11" s="4" t="s">
        <v>389</v>
      </c>
      <c r="E11" s="4" t="s">
        <v>390</v>
      </c>
    </row>
    <row r="12" customFormat="false" ht="45.75" hidden="false" customHeight="true" outlineLevel="0" collapsed="false">
      <c r="A12" s="4" t="s">
        <v>391</v>
      </c>
      <c r="B12" s="16" t="s">
        <v>29</v>
      </c>
      <c r="C12" s="4" t="s">
        <v>392</v>
      </c>
      <c r="D12" s="4" t="s">
        <v>393</v>
      </c>
      <c r="E12" s="4" t="s">
        <v>394</v>
      </c>
    </row>
    <row r="13" customFormat="false" ht="45.75" hidden="false" customHeight="true" outlineLevel="0" collapsed="false">
      <c r="A13" s="4" t="s">
        <v>395</v>
      </c>
      <c r="B13" s="17" t="s">
        <v>396</v>
      </c>
      <c r="C13" s="4" t="s">
        <v>381</v>
      </c>
      <c r="D13" s="4" t="s">
        <v>397</v>
      </c>
      <c r="E13" s="4" t="s">
        <v>398</v>
      </c>
    </row>
    <row r="14" customFormat="false" ht="45.75" hidden="false" customHeight="true" outlineLevel="0" collapsed="false">
      <c r="A14" s="4" t="s">
        <v>399</v>
      </c>
      <c r="B14" s="18" t="s">
        <v>400</v>
      </c>
      <c r="C14" s="4" t="s">
        <v>401</v>
      </c>
      <c r="D14" s="4" t="s">
        <v>402</v>
      </c>
      <c r="E14" s="4" t="s">
        <v>368</v>
      </c>
    </row>
    <row r="15" customFormat="false" ht="45.75" hidden="false" customHeight="true" outlineLevel="0" collapsed="false">
      <c r="A15" s="4" t="s">
        <v>403</v>
      </c>
      <c r="B15" s="17" t="s">
        <v>98</v>
      </c>
      <c r="C15" s="4" t="s">
        <v>377</v>
      </c>
      <c r="D15" s="4" t="s">
        <v>404</v>
      </c>
      <c r="E15" s="4" t="s">
        <v>405</v>
      </c>
    </row>
    <row r="16" customFormat="false" ht="45.75" hidden="false" customHeight="true" outlineLevel="0" collapsed="false">
      <c r="A16" s="4" t="s">
        <v>406</v>
      </c>
      <c r="B16" s="17" t="s">
        <v>407</v>
      </c>
      <c r="C16" s="4" t="s">
        <v>350</v>
      </c>
      <c r="D16" s="4" t="s">
        <v>408</v>
      </c>
      <c r="E16" s="4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410</v>
      </c>
    </row>
    <row r="2" customFormat="false" ht="15" hidden="false" customHeight="false" outlineLevel="0" collapsed="false">
      <c r="A2" s="2"/>
    </row>
    <row r="4" customFormat="false" ht="42" hidden="false" customHeight="true" outlineLevel="0" collapsed="false">
      <c r="A4" s="3" t="s">
        <v>411</v>
      </c>
      <c r="B4" s="3" t="s">
        <v>412</v>
      </c>
      <c r="C4" s="3" t="s">
        <v>413</v>
      </c>
      <c r="D4" s="3" t="s">
        <v>414</v>
      </c>
      <c r="E4" s="3" t="s">
        <v>133</v>
      </c>
    </row>
    <row r="5" customFormat="false" ht="15" hidden="false" customHeight="false" outlineLevel="0" collapsed="false">
      <c r="A5" s="4" t="s">
        <v>415</v>
      </c>
      <c r="B5" s="4" t="n">
        <v>125</v>
      </c>
      <c r="C5" s="4" t="s">
        <v>416</v>
      </c>
      <c r="D5" s="4" t="s">
        <v>417</v>
      </c>
      <c r="E5" s="4" t="s">
        <v>418</v>
      </c>
    </row>
    <row r="6" customFormat="false" ht="22.35" hidden="false" customHeight="false" outlineLevel="0" collapsed="false">
      <c r="A6" s="4" t="s">
        <v>419</v>
      </c>
      <c r="B6" s="4" t="n">
        <v>75</v>
      </c>
      <c r="C6" s="4" t="s">
        <v>416</v>
      </c>
      <c r="D6" s="4" t="s">
        <v>420</v>
      </c>
      <c r="E6" s="4" t="s">
        <v>418</v>
      </c>
    </row>
    <row r="7" customFormat="false" ht="15" hidden="false" customHeight="false" outlineLevel="0" collapsed="false">
      <c r="A7" s="4" t="s">
        <v>421</v>
      </c>
      <c r="B7" s="19" t="n">
        <v>0.1</v>
      </c>
      <c r="C7" s="4" t="s">
        <v>422</v>
      </c>
      <c r="D7" s="4" t="s">
        <v>423</v>
      </c>
      <c r="E7" s="4" t="s">
        <v>418</v>
      </c>
    </row>
    <row r="8" customFormat="false" ht="15" hidden="false" customHeight="false" outlineLevel="0" collapsed="false">
      <c r="A8" s="4" t="s">
        <v>424</v>
      </c>
      <c r="B8" s="4" t="n">
        <v>1.8</v>
      </c>
      <c r="C8" s="4" t="s">
        <v>425</v>
      </c>
      <c r="D8" s="4" t="s">
        <v>426</v>
      </c>
      <c r="E8" s="4" t="s">
        <v>418</v>
      </c>
    </row>
    <row r="9" customFormat="false" ht="15" hidden="false" customHeight="false" outlineLevel="0" collapsed="false">
      <c r="A9" s="4" t="s">
        <v>427</v>
      </c>
      <c r="B9" s="19" t="n">
        <v>0.55</v>
      </c>
      <c r="C9" s="4" t="s">
        <v>422</v>
      </c>
      <c r="D9" s="4" t="s">
        <v>234</v>
      </c>
      <c r="E9" s="4" t="s">
        <v>351</v>
      </c>
    </row>
    <row r="10" customFormat="false" ht="15" hidden="false" customHeight="false" outlineLevel="0" collapsed="false">
      <c r="A10" s="4" t="s">
        <v>428</v>
      </c>
      <c r="B10" s="4" t="s">
        <v>429</v>
      </c>
      <c r="C10" s="4" t="s">
        <v>422</v>
      </c>
      <c r="D10" s="4" t="s">
        <v>430</v>
      </c>
      <c r="E10" s="4" t="s">
        <v>224</v>
      </c>
    </row>
    <row r="11" customFormat="false" ht="15" hidden="false" customHeight="false" outlineLevel="0" collapsed="false">
      <c r="A11" s="4" t="s">
        <v>431</v>
      </c>
      <c r="B11" s="4" t="s">
        <v>432</v>
      </c>
      <c r="C11" s="4" t="s">
        <v>422</v>
      </c>
      <c r="D11" s="4" t="s">
        <v>433</v>
      </c>
      <c r="E11" s="4" t="s">
        <v>224</v>
      </c>
    </row>
    <row r="12" customFormat="false" ht="15" hidden="false" customHeight="false" outlineLevel="0" collapsed="false">
      <c r="A12" s="4" t="s">
        <v>434</v>
      </c>
      <c r="B12" s="4" t="s">
        <v>435</v>
      </c>
      <c r="C12" s="4" t="s">
        <v>422</v>
      </c>
      <c r="D12" s="4" t="s">
        <v>436</v>
      </c>
      <c r="E12" s="4" t="s">
        <v>224</v>
      </c>
    </row>
    <row r="13" customFormat="false" ht="15" hidden="false" customHeight="false" outlineLevel="0" collapsed="false">
      <c r="A13" s="4" t="s">
        <v>437</v>
      </c>
      <c r="B13" s="19" t="n">
        <v>0.1</v>
      </c>
      <c r="C13" s="4" t="s">
        <v>422</v>
      </c>
      <c r="D13" s="4" t="s">
        <v>234</v>
      </c>
      <c r="E13" s="4" t="s">
        <v>386</v>
      </c>
    </row>
    <row r="14" customFormat="false" ht="15" hidden="false" customHeight="false" outlineLevel="0" collapsed="false">
      <c r="A14" s="4" t="s">
        <v>438</v>
      </c>
      <c r="B14" s="4" t="s">
        <v>439</v>
      </c>
      <c r="C14" s="4" t="s">
        <v>440</v>
      </c>
      <c r="D14" s="4" t="s">
        <v>441</v>
      </c>
      <c r="E14" s="4" t="s">
        <v>442</v>
      </c>
    </row>
    <row r="15" customFormat="false" ht="15" hidden="false" customHeight="false" outlineLevel="0" collapsed="false">
      <c r="A15" s="4" t="s">
        <v>443</v>
      </c>
      <c r="B15" s="4" t="s">
        <v>444</v>
      </c>
      <c r="C15" s="4" t="s">
        <v>416</v>
      </c>
      <c r="D15" s="4" t="s">
        <v>445</v>
      </c>
      <c r="E15" s="4" t="s">
        <v>446</v>
      </c>
    </row>
    <row r="16" customFormat="false" ht="15" hidden="false" customHeight="false" outlineLevel="0" collapsed="false">
      <c r="A16" s="4" t="s">
        <v>447</v>
      </c>
      <c r="B16" s="4" t="n">
        <v>1.48</v>
      </c>
      <c r="C16" s="4" t="s">
        <v>448</v>
      </c>
      <c r="D16" s="4"/>
      <c r="E16" s="4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449</v>
      </c>
    </row>
    <row r="2" customFormat="false" ht="15" hidden="false" customHeight="false" outlineLevel="0" collapsed="false">
      <c r="A2" s="2" t="s">
        <v>450</v>
      </c>
    </row>
    <row r="4" customFormat="false" ht="42" hidden="false" customHeight="true" outlineLevel="0" collapsed="false">
      <c r="A4" s="3" t="s">
        <v>451</v>
      </c>
      <c r="B4" s="3" t="s">
        <v>452</v>
      </c>
      <c r="C4" s="3" t="s">
        <v>453</v>
      </c>
    </row>
    <row r="5" customFormat="false" ht="15" hidden="false" customHeight="false" outlineLevel="0" collapsed="false">
      <c r="A5" s="4" t="s">
        <v>418</v>
      </c>
      <c r="B5" s="4" t="s">
        <v>454</v>
      </c>
      <c r="C5" s="20" t="s">
        <v>455</v>
      </c>
    </row>
    <row r="6" customFormat="false" ht="15" hidden="false" customHeight="false" outlineLevel="0" collapsed="false">
      <c r="A6" s="4" t="s">
        <v>442</v>
      </c>
      <c r="B6" s="4" t="s">
        <v>456</v>
      </c>
      <c r="C6" s="20" t="s">
        <v>457</v>
      </c>
    </row>
    <row r="7" customFormat="false" ht="15" hidden="false" customHeight="false" outlineLevel="0" collapsed="false">
      <c r="A7" s="4" t="s">
        <v>458</v>
      </c>
      <c r="B7" s="4" t="s">
        <v>459</v>
      </c>
      <c r="C7" s="20" t="s">
        <v>460</v>
      </c>
    </row>
    <row r="8" customFormat="false" ht="15" hidden="false" customHeight="false" outlineLevel="0" collapsed="false">
      <c r="A8" s="4" t="s">
        <v>461</v>
      </c>
      <c r="B8" s="4" t="s">
        <v>462</v>
      </c>
      <c r="C8" s="20" t="s">
        <v>463</v>
      </c>
    </row>
    <row r="9" customFormat="false" ht="22.35" hidden="false" customHeight="false" outlineLevel="0" collapsed="false">
      <c r="A9" s="4" t="s">
        <v>464</v>
      </c>
      <c r="B9" s="4" t="s">
        <v>465</v>
      </c>
      <c r="C9" s="20" t="s">
        <v>466</v>
      </c>
    </row>
    <row r="10" customFormat="false" ht="15" hidden="false" customHeight="false" outlineLevel="0" collapsed="false">
      <c r="A10" s="4" t="s">
        <v>351</v>
      </c>
      <c r="B10" s="4" t="s">
        <v>467</v>
      </c>
      <c r="C10" s="20" t="s">
        <v>468</v>
      </c>
    </row>
    <row r="11" customFormat="false" ht="22.35" hidden="false" customHeight="false" outlineLevel="0" collapsed="false">
      <c r="A11" s="4" t="s">
        <v>224</v>
      </c>
      <c r="B11" s="4" t="s">
        <v>469</v>
      </c>
      <c r="C11" s="20" t="s">
        <v>470</v>
      </c>
    </row>
    <row r="12" customFormat="false" ht="15" hidden="false" customHeight="false" outlineLevel="0" collapsed="false">
      <c r="A12" s="4" t="s">
        <v>471</v>
      </c>
      <c r="B12" s="4" t="s">
        <v>472</v>
      </c>
      <c r="C12" s="20" t="s">
        <v>473</v>
      </c>
    </row>
    <row r="13" customFormat="false" ht="22.35" hidden="false" customHeight="false" outlineLevel="0" collapsed="false">
      <c r="A13" s="4" t="s">
        <v>474</v>
      </c>
      <c r="B13" s="4" t="s">
        <v>475</v>
      </c>
      <c r="C13" s="20" t="s">
        <v>476</v>
      </c>
    </row>
    <row r="14" customFormat="false" ht="22.35" hidden="false" customHeight="false" outlineLevel="0" collapsed="false">
      <c r="A14" s="4" t="s">
        <v>477</v>
      </c>
      <c r="B14" s="4" t="s">
        <v>478</v>
      </c>
      <c r="C14" s="20" t="s">
        <v>479</v>
      </c>
    </row>
    <row r="15" customFormat="false" ht="15" hidden="false" customHeight="false" outlineLevel="0" collapsed="false">
      <c r="A15" s="4" t="s">
        <v>480</v>
      </c>
      <c r="B15" s="4" t="s">
        <v>481</v>
      </c>
      <c r="C15" s="20" t="s">
        <v>482</v>
      </c>
    </row>
    <row r="16" customFormat="false" ht="15" hidden="false" customHeight="false" outlineLevel="0" collapsed="false">
      <c r="A16" s="4" t="s">
        <v>483</v>
      </c>
      <c r="B16" s="4" t="s">
        <v>484</v>
      </c>
      <c r="C16" s="20" t="s">
        <v>485</v>
      </c>
    </row>
    <row r="17" customFormat="false" ht="15" hidden="false" customHeight="false" outlineLevel="0" collapsed="false">
      <c r="A17" s="4" t="s">
        <v>486</v>
      </c>
      <c r="B17" s="4" t="s">
        <v>487</v>
      </c>
      <c r="C17" s="20" t="s">
        <v>488</v>
      </c>
    </row>
    <row r="18" customFormat="false" ht="15" hidden="false" customHeight="false" outlineLevel="0" collapsed="false">
      <c r="A18" s="4" t="s">
        <v>296</v>
      </c>
      <c r="B18" s="4" t="s">
        <v>489</v>
      </c>
      <c r="C18" s="20" t="s">
        <v>490</v>
      </c>
    </row>
    <row r="19" customFormat="false" ht="15" hidden="false" customHeight="false" outlineLevel="0" collapsed="false">
      <c r="A19" s="4" t="s">
        <v>317</v>
      </c>
      <c r="B19" s="4" t="s">
        <v>491</v>
      </c>
      <c r="C19" s="20" t="s">
        <v>492</v>
      </c>
    </row>
    <row r="20" customFormat="false" ht="22.35" hidden="false" customHeight="false" outlineLevel="0" collapsed="false">
      <c r="A20" s="4" t="s">
        <v>493</v>
      </c>
      <c r="B20" s="4" t="s">
        <v>494</v>
      </c>
      <c r="C20" s="20" t="s">
        <v>476</v>
      </c>
    </row>
    <row r="21" customFormat="false" ht="15" hidden="false" customHeight="false" outlineLevel="0" collapsed="false">
      <c r="A21" s="4" t="s">
        <v>307</v>
      </c>
      <c r="B21" s="4" t="s">
        <v>495</v>
      </c>
      <c r="C21" s="20" t="s">
        <v>496</v>
      </c>
    </row>
    <row r="22" customFormat="false" ht="15" hidden="false" customHeight="false" outlineLevel="0" collapsed="false">
      <c r="A22" s="4" t="s">
        <v>302</v>
      </c>
      <c r="B22" s="4" t="s">
        <v>497</v>
      </c>
      <c r="C22" s="20" t="s">
        <v>498</v>
      </c>
    </row>
    <row r="23" customFormat="false" ht="15" hidden="false" customHeight="false" outlineLevel="0" collapsed="false">
      <c r="A23" s="4" t="s">
        <v>499</v>
      </c>
      <c r="B23" s="4" t="s">
        <v>500</v>
      </c>
      <c r="C23" s="20" t="s">
        <v>501</v>
      </c>
    </row>
    <row r="24" customFormat="false" ht="15" hidden="false" customHeight="false" outlineLevel="0" collapsed="false">
      <c r="A24" s="4" t="s">
        <v>502</v>
      </c>
      <c r="B24" s="4" t="s">
        <v>503</v>
      </c>
      <c r="C24" s="20" t="s">
        <v>504</v>
      </c>
    </row>
    <row r="25" customFormat="false" ht="22.35" hidden="false" customHeight="false" outlineLevel="0" collapsed="false">
      <c r="A25" s="4" t="s">
        <v>505</v>
      </c>
      <c r="B25" s="4" t="s">
        <v>506</v>
      </c>
      <c r="C25" s="20" t="s">
        <v>507</v>
      </c>
    </row>
    <row r="26" customFormat="false" ht="22.35" hidden="false" customHeight="false" outlineLevel="0" collapsed="false">
      <c r="A26" s="4" t="s">
        <v>508</v>
      </c>
      <c r="B26" s="4" t="s">
        <v>509</v>
      </c>
      <c r="C26" s="20" t="s">
        <v>510</v>
      </c>
    </row>
    <row r="27" customFormat="false" ht="22.35" hidden="false" customHeight="false" outlineLevel="0" collapsed="false">
      <c r="A27" s="4" t="s">
        <v>511</v>
      </c>
      <c r="B27" s="4" t="s">
        <v>512</v>
      </c>
      <c r="C27" s="20" t="s">
        <v>513</v>
      </c>
    </row>
    <row r="28" customFormat="false" ht="15" hidden="false" customHeight="false" outlineLevel="0" collapsed="false">
      <c r="A28" s="4" t="s">
        <v>514</v>
      </c>
      <c r="B28" s="4" t="s">
        <v>515</v>
      </c>
      <c r="C28" s="20" t="s">
        <v>516</v>
      </c>
    </row>
    <row r="29" customFormat="false" ht="15" hidden="false" customHeight="false" outlineLevel="0" collapsed="false">
      <c r="A29" s="4" t="s">
        <v>312</v>
      </c>
      <c r="B29" s="4" t="s">
        <v>517</v>
      </c>
      <c r="C29" s="20" t="s">
        <v>518</v>
      </c>
    </row>
    <row r="30" customFormat="false" ht="15" hidden="false" customHeight="false" outlineLevel="0" collapsed="false">
      <c r="A30" s="4" t="s">
        <v>519</v>
      </c>
      <c r="B30" s="4" t="s">
        <v>520</v>
      </c>
      <c r="C30" s="20" t="s">
        <v>521</v>
      </c>
    </row>
    <row r="31" customFormat="false" ht="15" hidden="false" customHeight="false" outlineLevel="0" collapsed="false">
      <c r="A31" s="4" t="s">
        <v>522</v>
      </c>
      <c r="B31" s="4" t="s">
        <v>523</v>
      </c>
      <c r="C31" s="20" t="s">
        <v>524</v>
      </c>
    </row>
    <row r="32" customFormat="false" ht="15" hidden="false" customHeight="false" outlineLevel="0" collapsed="false">
      <c r="A32" s="4" t="s">
        <v>525</v>
      </c>
      <c r="B32" s="4" t="s">
        <v>526</v>
      </c>
      <c r="C32" s="20" t="s">
        <v>527</v>
      </c>
    </row>
    <row r="33" customFormat="false" ht="15" hidden="false" customHeight="false" outlineLevel="0" collapsed="false">
      <c r="A33" s="4" t="s">
        <v>291</v>
      </c>
      <c r="B33" s="4" t="s">
        <v>528</v>
      </c>
      <c r="C33" s="20" t="s">
        <v>529</v>
      </c>
    </row>
    <row r="34" customFormat="false" ht="15" hidden="false" customHeight="false" outlineLevel="0" collapsed="false">
      <c r="A34" s="4" t="s">
        <v>276</v>
      </c>
      <c r="B34" s="4" t="s">
        <v>530</v>
      </c>
      <c r="C34" s="20" t="s">
        <v>531</v>
      </c>
    </row>
    <row r="35" customFormat="false" ht="22.35" hidden="false" customHeight="false" outlineLevel="0" collapsed="false">
      <c r="A35" s="4" t="s">
        <v>386</v>
      </c>
      <c r="B35" s="4" t="s">
        <v>532</v>
      </c>
      <c r="C35" s="20" t="s">
        <v>533</v>
      </c>
    </row>
    <row r="36" customFormat="false" ht="15" hidden="false" customHeight="false" outlineLevel="0" collapsed="false">
      <c r="A36" s="4" t="s">
        <v>335</v>
      </c>
      <c r="B36" s="4" t="s">
        <v>534</v>
      </c>
      <c r="C36" s="20" t="s">
        <v>535</v>
      </c>
    </row>
    <row r="37" customFormat="false" ht="15" hidden="false" customHeight="false" outlineLevel="0" collapsed="false">
      <c r="A37" s="4" t="s">
        <v>340</v>
      </c>
      <c r="B37" s="4" t="s">
        <v>536</v>
      </c>
      <c r="C37" s="20" t="s">
        <v>537</v>
      </c>
    </row>
    <row r="38" customFormat="false" ht="22.35" hidden="false" customHeight="false" outlineLevel="0" collapsed="false">
      <c r="A38" s="4" t="s">
        <v>446</v>
      </c>
      <c r="B38" s="4" t="s">
        <v>538</v>
      </c>
      <c r="C38" s="20" t="s">
        <v>539</v>
      </c>
    </row>
    <row r="39" customFormat="false" ht="22.35" hidden="false" customHeight="false" outlineLevel="0" collapsed="false">
      <c r="A39" s="4" t="s">
        <v>540</v>
      </c>
      <c r="B39" s="4" t="s">
        <v>541</v>
      </c>
      <c r="C39" s="20" t="s">
        <v>542</v>
      </c>
    </row>
  </sheetData>
  <hyperlinks>
    <hyperlink ref="C5" r:id="rId1" display="https://ember-energy.org/latest-insights/how-cheap-is-battery-storage/"/>
    <hyperlink ref="C6" r:id="rId2" display="https://www.dcntglobal.com/?p=5380"/>
    <hyperlink ref="C7" r:id="rId3" display="https://www.saurenergy.com/solar-energy-news/delta-electronics-india-to-deploy-110-mw-pcs-for-prostarms-bess-portfolio-across-india-10977625"/>
    <hyperlink ref="C8" r:id="rId4" display="https://www.pv-magazine-india.com/2026/01/06/delta-electronics-india-to-supply-110-mw-of-power-conditioning-systems-for-prostarms-battery-storage-projects"/>
    <hyperlink ref="C9" r:id="rId5" display="https://renewablewatch.in/2025/10/27/pace-digitek-secures-rs-11-59-billion-order-to-supply-1-2-gwh-bess/"/>
    <hyperlink ref="C10" r:id="rId6" display="https://www.saurenergy.com/solar-energy-articles/indias-energy-storage-ambition-faces-a-reality-check-11055300"/>
    <hyperlink ref="C11" r:id="rId7" display="https://docs.google.com/presentation/d/193_upMsCzqBcJ00GY8S_ODpc8LtrhkgF/htmlpresent"/>
    <hyperlink ref="C12" r:id="rId8" display="https://www.hitachienergy.com/in/en/products-and-solutions/transformers/by-customer-segment/transformers-for-solar"/>
    <hyperlink ref="C13" r:id="rId9" display="https://tenders.bhel.com/sites/default/files/PriceScheduleRev01.pdf"/>
    <hyperlink ref="C14" r:id="rId10" display="https://pv-magazine-india.com/2026/08/12/waaree-transpower-secures-inr-160-crore-order-for-bess-medium-voltage-skids/"/>
    <hyperlink ref="C15" r:id="rId11" display="https://ezone.intermodal-events.com/press-releases/dcm-containers-indian-manufacturer-types-standard-customized-bess-containers"/>
    <hyperlink ref="C16" r:id="rId12" display="https://evertiq.com/news/2026-07-17-waaree-energy-launches-bess-container-manufacturing-facility"/>
    <hyperlink ref="C17" r:id="rId13" display="https://www.pv-magazine-india.com/?p=15734"/>
    <hyperlink ref="C18" r:id="rId14" display="https://www.pv-magazine-india.com/2025/09/25/jupiter-electric-mobility-launches-containerized-bess-for-ci-applications"/>
    <hyperlink ref="C19" r:id="rId15" display="https://www.dcntglobal.com/?p=5360"/>
    <hyperlink ref="C20" r:id="rId16" display="https://tenders.bhel.com/sites/default/files/PriceScheduleRev01.pdf"/>
    <hyperlink ref="C21" r:id="rId17" display="https://www.saurenergy.com/solar-energy-news/powertrac-bets-on-containerised-bess-invests-6-billion-in-1-gwh-facility-11114861"/>
    <hyperlink ref="C22" r:id="rId18" display="https://www.ess-news.com/?p=6550"/>
    <hyperlink ref="C23" r:id="rId19" display="https://www.energetica-india.net/news/replus-engitech-launches-re5k-liquid-cooled-bess-at-rei-expo-2025"/>
    <hyperlink ref="C24" r:id="rId20" display="https://solarquarter.com/2026/07/02/make-in-india-cooling-technology-advances-thermal-management-for-evs-bess-and-ai-data-centres/"/>
    <hyperlink ref="C25" r:id="rId21" display="https://www.tradeindia.com/products/fire-suppression-for-electrical-panels-c4316472.html"/>
    <hyperlink ref="C26" r:id="rId22" display="https://static.atesspower.com/upload/files/20250724/cb1912a3fd75084f83f712c8e0a8162c.pdf"/>
    <hyperlink ref="C27" r:id="rId23" display="https://www.energy-storage.news/third-party-technologies-for-preventing-or-dealing-with-thermal-runaway-in-bess-assets/"/>
    <hyperlink ref="C28" r:id="rId24" display="https://www.interschutz.de/exhibitor/swastik-synergy-engineering/N1483492"/>
    <hyperlink ref="C29" r:id="rId25" display="https://powerpeakdigest.com/?p=62369"/>
    <hyperlink ref="C30" r:id="rId26" display="https://ippjournal.com/company/amperehour-solar-technology"/>
    <hyperlink ref="C31" r:id="rId27" display="https://www.blackridgeresearch.com/blog/latest-list-of-top-largest-bess-battery-energy-storage-system-companies-manufacturers-india"/>
    <hyperlink ref="C32" r:id="rId28" display="https://blog.business.moglix.com/?p=25698"/>
    <hyperlink ref="C33" r:id="rId29" display="https://www.servotech.in/blog/?p=18388"/>
    <hyperlink ref="C34" r:id="rId30" display="https://rupeezy.in/blog/top-bess-stocks-in-india"/>
    <hyperlink ref="C35" r:id="rId31" display="https://plindia.com/ResReport/Power-16-1-26-PL.pdf"/>
    <hyperlink ref="C36" r:id="rId32" display="https://ornatesolar.com/?p=78392"/>
    <hyperlink ref="C37" r:id="rId33" display="https://electronicsbuzz.in/?p=370667"/>
    <hyperlink ref="C38" r:id="rId34" display="https://de.linkedin.com/in/sukmar"/>
    <hyperlink ref="C39" r:id="rId35" display="https://atb.nrel.gov/electricity/2024/utility-scale_battery_storag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2026-10-29T10:21:08Z</dcterms:created>
  <dc:creator>openpyxl</dc:creator>
  <dc:description/>
  <dc:language>en-US</dc:language>
  <cp:lastModifiedBy/>
  <dcterms:modified xsi:type="dcterms:W3CDTF">2026-10-29T15:51:09Z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