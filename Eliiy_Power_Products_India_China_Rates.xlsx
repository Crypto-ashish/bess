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Product Photos" sheetId="3" state="visible" r:id="rId5"/>
    <sheet name="Product Specs" sheetId="4" state="visible" r:id="rId6"/>
    <sheet name="Where Used" sheetId="5" state="visible" r:id="rId7"/>
    <sheet name="Price Comparison" sheetId="6" state="visible" r:id="rId8"/>
    <sheet name="Market Benchmarks" sheetId="7" state="visible" r:id="rId9"/>
    <sheet name="Sources" sheetId="8" state="visible" r:id="rId10"/>
    <sheet name="How Prices Were Go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<sst xmlns="http://schemas.openxmlformats.org/spreadsheetml/2006/main" count="886" uniqueCount="600">
  <si>
    <t xml:space="preserve">ELIIY Power (Japan) – Product, Application &amp; Cost Benchmark</t>
  </si>
  <si>
    <t xml:space="preserve">Prepared 26 Oct 2026. Tabs: Product Specs · Where Used · Price Comparison · Market Benchmarks · Assumptions · Sources</t>
  </si>
  <si>
    <t xml:space="preserve">Key figure</t>
  </si>
  <si>
    <t xml:space="preserve">Value</t>
  </si>
  <si>
    <t xml:space="preserve">Comment</t>
  </si>
  <si>
    <t xml:space="preserve">Product families</t>
  </si>
  <si>
    <t xml:space="preserve">LFP cells · motorcycle starters · home/office ESS · C&amp;I ESS</t>
  </si>
  <si>
    <t xml:space="preserve">Active products listed</t>
  </si>
  <si>
    <t xml:space="preserve">Plus custom 270 kWh build; 4 end-of-life lines</t>
  </si>
  <si>
    <t xml:space="preserve">POWER YIILE 3 – price (₹)</t>
  </si>
  <si>
    <t xml:space="preserve">¥1,097,800 retail incl. tax, converted at Assumptions FX</t>
  </si>
  <si>
    <t xml:space="preserve">POWER YIILE 3 – ₹/kWh</t>
  </si>
  <si>
    <t xml:space="preserve">Premium, Japan-made, 12,000-cycle, SiC inverter</t>
  </si>
  <si>
    <t xml:space="preserve">Chinese OEM portable ESS – ₹/kWh (est.)</t>
  </si>
  <si>
    <t xml:space="preserve">Factory ODM estimate</t>
  </si>
  <si>
    <t xml:space="preserve">ELIIY vs Chinese portable (x)</t>
  </si>
  <si>
    <t xml:space="preserve">How many times costlier ELIIY is</t>
  </si>
  <si>
    <t xml:space="preserve">Home 5 kWh – India ₹/kWh</t>
  </si>
  <si>
    <t xml:space="preserve">Luminous / Exide LFP, retail range mid</t>
  </si>
  <si>
    <t xml:space="preserve">Home 5 kWh – China ₹/kWh</t>
  </si>
  <si>
    <t xml:space="preserve">Factory price, MOQ 100+</t>
  </si>
  <si>
    <t xml:space="preserve">C&amp;I ESS – India ₹/kWh</t>
  </si>
  <si>
    <t xml:space="preserve">Turnkey 1 MWh</t>
  </si>
  <si>
    <t xml:space="preserve">C&amp;I ESS – China ₹/kWh</t>
  </si>
  <si>
    <t xml:space="preserve">System price, ex-works</t>
  </si>
  <si>
    <t xml:space="preserve">HY93-C starter vs Indian lead-acid (x)</t>
  </si>
  <si>
    <t xml:space="preserve">ELIIY Li-ion vs Exide VRLA 7 Ah</t>
  </si>
  <si>
    <t xml:space="preserve">Takeaways</t>
  </si>
  <si>
    <t xml:space="preserve">1. ELIIY's edge is safety and life, not price: cells pass nail/crush with no fire, rated 17,000 cycles to 70%, and carry 15-yr warranties.</t>
  </si>
  <si>
    <t xml:space="preserve">2. On cost it is far above both India and China – POWER YIILE 3 is roughly an order of magnitude dearer per kWh than Chinese ODM portable units.</t>
  </si>
  <si>
    <t xml:space="preserve">3. Motorcycle starters are its main OEM foothold (Honda, Suzuki); in India 2W OEMs still fit lead-acid at ~₹1,400–2,000 per unit.</t>
  </si>
  <si>
    <t xml:space="preserve">4. Indian C&amp;I storage (≈₹30k/kWh turnkey) is still ~3–4x Chinese ex-works system prices, largely because cells are imported.</t>
  </si>
  <si>
    <t xml:space="preserve">5. Yellow cells in Price Comparison are estimates – confirm with supplier RFQs before using in a should-cost.</t>
  </si>
  <si>
    <t xml:space="preserve">Assumptions – Exchange Rates</t>
  </si>
  <si>
    <t xml:space="preserve">Blue = editable input. Change these and every ₹ figure in the workbook updates.</t>
  </si>
  <si>
    <t xml:space="preserve">Item</t>
  </si>
  <si>
    <t xml:space="preserve">Unit</t>
  </si>
  <si>
    <t xml:space="preserve">Source / note</t>
  </si>
  <si>
    <t xml:space="preserve">USD → INR</t>
  </si>
  <si>
    <t xml:space="preserve">₹ per USD</t>
  </si>
  <si>
    <t xml:space="preserve">banklive.net mid-market, 10 Oct 2026 (S40)</t>
  </si>
  <si>
    <t xml:space="preserve">JPY → INR</t>
  </si>
  <si>
    <t xml:space="preserve">₹ per JPY</t>
  </si>
  <si>
    <t xml:space="preserve">USD → CNY</t>
  </si>
  <si>
    <t xml:space="preserve">CNY per USD</t>
  </si>
  <si>
    <t xml:space="preserve">Implied by InfoLink: CNY 0.300/Wh ≈ $42/kWh (S33)</t>
  </si>
  <si>
    <t xml:space="preserve">EUR → USD</t>
  </si>
  <si>
    <t xml:space="preserve">USD per EUR</t>
  </si>
  <si>
    <t xml:space="preserve">ESTIMATE – verify before use</t>
  </si>
  <si>
    <t xml:space="preserve">FX lookup table (used by formulas)</t>
  </si>
  <si>
    <t xml:space="preserve">Currency</t>
  </si>
  <si>
    <t xml:space="preserve">₹ per 1 unit</t>
  </si>
  <si>
    <t xml:space="preserve">INR</t>
  </si>
  <si>
    <t xml:space="preserve">USD</t>
  </si>
  <si>
    <t xml:space="preserve">JPY</t>
  </si>
  <si>
    <t xml:space="preserve">CNY</t>
  </si>
  <si>
    <t xml:space="preserve">EUR</t>
  </si>
  <si>
    <t xml:space="preserve">ELIIY Power – Product Photos</t>
  </si>
  <si>
    <t xml:space="preserve">Official ELIIY Power images, loaded live with =IMAGE() (Excel 365 / Excel web / Excel mobile). Other apps show the link – tap it to view.</t>
  </si>
  <si>
    <t xml:space="preserve">Product</t>
  </si>
  <si>
    <t xml:space="preserve">Photo</t>
  </si>
  <si>
    <t xml:space="preserve">Category</t>
  </si>
  <si>
    <t xml:space="preserve">Official image link</t>
  </si>
  <si>
    <t xml:space="preserve">Product page</t>
  </si>
  <si>
    <t xml:space="preserve">HY battEliiy P-series (HY85S / HY93-C / HY110)</t>
  </si>
  <si>
    <t xml:space="preserve">Motorcycle starter</t>
  </si>
  <si>
    <t xml:space="preserve">View photo</t>
  </si>
  <si>
    <t xml:space="preserve">HY battEliiy P-series (lineup banner)</t>
  </si>
  <si>
    <t xml:space="preserve">HY93SS / HY110SS (Suzuki)</t>
  </si>
  <si>
    <t xml:space="preserve">Charger C-1401B</t>
  </si>
  <si>
    <t xml:space="preserve">Accessory</t>
  </si>
  <si>
    <t xml:space="preserve">POWER YIILE 3</t>
  </si>
  <si>
    <t xml:space="preserve">Portable indoor ESS</t>
  </si>
  <si>
    <t xml:space="preserve">POWER iE5 GRID</t>
  </si>
  <si>
    <t xml:space="preserve">Home hybrid ESS</t>
  </si>
  <si>
    <t xml:space="preserve">270 kWh custom system</t>
  </si>
  <si>
    <t xml:space="preserve">Large custom ESS</t>
  </si>
  <si>
    <t xml:space="preserve">Power Storager 10 (end-of-life)</t>
  </si>
  <si>
    <t xml:space="preserve">C&amp;I ESS</t>
  </si>
  <si>
    <t xml:space="preserve">ELIIY ONE (end-of-life)</t>
  </si>
  <si>
    <t xml:space="preserve">Portable power bank</t>
  </si>
  <si>
    <t xml:space="preserve">No official photos online for HEYA, Power Storager GX / X / D20 or the L-series cell – see their catalogues in the Sources tab.</t>
  </si>
  <si>
    <t xml:space="preserve">ELIIY Power – Product Specifications</t>
  </si>
  <si>
    <t xml:space="preserve">All from ELIIY Power product pages, catalogues and press releases. Cell chemistry across the range: LFP (lithium iron phosphate).</t>
  </si>
  <si>
    <t xml:space="preserve">#</t>
  </si>
  <si>
    <t xml:space="preserve">Model no.</t>
  </si>
  <si>
    <t xml:space="preserve">Status</t>
  </si>
  <si>
    <t xml:space="preserve">Capacity</t>
  </si>
  <si>
    <t xml:space="preserve">Usable / note</t>
  </si>
  <si>
    <t xml:space="preserve">Voltage</t>
  </si>
  <si>
    <t xml:space="preserve">Rated output</t>
  </si>
  <si>
    <t xml:space="preserve">Other output / CCA</t>
  </si>
  <si>
    <t xml:space="preserve">Charge time</t>
  </si>
  <si>
    <t xml:space="preserve">Run time at rated</t>
  </si>
  <si>
    <t xml:space="preserve">Size W×D×H (mm)</t>
  </si>
  <si>
    <t xml:space="preserve">Weight</t>
  </si>
  <si>
    <t xml:space="preserve">Operating temp</t>
  </si>
  <si>
    <t xml:space="preserve">Life / warranty</t>
  </si>
  <si>
    <t xml:space="preserve">Key features</t>
  </si>
  <si>
    <t xml:space="preserve">Source</t>
  </si>
  <si>
    <t xml:space="preserve">HY battEliiy L-series cell</t>
  </si>
  <si>
    <t xml:space="preserve">PD50S06</t>
  </si>
  <si>
    <t xml:space="preserve">Battery cell</t>
  </si>
  <si>
    <t xml:space="preserve">Current</t>
  </si>
  <si>
    <t xml:space="preserve">≈155 Wh (≈48.5 Ah × 3.2 V)</t>
  </si>
  <si>
    <t xml:space="preserve">Derived: 1C = 48.5 A; 1 cell = 155 Wh in ELIIY ONE</t>
  </si>
  <si>
    <t xml:space="preserve">3.2 V nominal (LFP)</t>
  </si>
  <si>
    <t xml:space="preserve">1C = 48.5 A</t>
  </si>
  <si>
    <t xml:space="preserve">—</t>
  </si>
  <si>
    <t xml:space="preserve">−20 to 60 °C</t>
  </si>
  <si>
    <t xml:space="preserve">17,000 cycles to 70% (1C, 3 cyc/day, 15 yrs); &gt;80% at 12,000 cycles</t>
  </si>
  <si>
    <t xml:space="preserve">TÜV-S certified (first large Li-ion cell); no smoke/fire on nail &amp; crush test; made in Kawasaki</t>
  </si>
  <si>
    <t xml:space="preserve">S10, S17, S19</t>
  </si>
  <si>
    <t xml:space="preserve">HY battEliiy P-series</t>
  </si>
  <si>
    <t xml:space="preserve">HY85S</t>
  </si>
  <si>
    <t xml:space="preserve">2.0 Ah (≈24 Wh)</t>
  </si>
  <si>
    <t xml:space="preserve">12 V</t>
  </si>
  <si>
    <t xml:space="preserve">CCA ≥55 A</t>
  </si>
  <si>
    <t xml:space="preserve">112 × 49 × 85</t>
  </si>
  <si>
    <t xml:space="preserve">0.7 kg</t>
  </si>
  <si>
    <t xml:space="preserve">−10 to 65 °C</t>
  </si>
  <si>
    <t xml:space="preserve">100,000+ start cycles (in-house test)</t>
  </si>
  <si>
    <t xml:space="preserve">Built-in BMU, PPS resin case; starts at −10 °C; very low self-discharge</t>
  </si>
  <si>
    <t xml:space="preserve">S2</t>
  </si>
  <si>
    <t xml:space="preserve">HY93-C</t>
  </si>
  <si>
    <t xml:space="preserve">4.5 Ah (≈54 Wh)</t>
  </si>
  <si>
    <t xml:space="preserve">CCA ≥110 A</t>
  </si>
  <si>
    <t xml:space="preserve">112 × 70 × 93</t>
  </si>
  <si>
    <t xml:space="preserve">1.1 kg</t>
  </si>
  <si>
    <t xml:space="preserve">100,000+ start cycles</t>
  </si>
  <si>
    <t xml:space="preserve">For 3+ cylinder bikes with 13.8–14.7 V charging</t>
  </si>
  <si>
    <t xml:space="preserve">S2, S4</t>
  </si>
  <si>
    <t xml:space="preserve">HY110</t>
  </si>
  <si>
    <t xml:space="preserve">6.0 Ah (≈72 Wh)</t>
  </si>
  <si>
    <t xml:space="preserve">CCA ≥120 A</t>
  </si>
  <si>
    <t xml:space="preserve">112 × 70 × 110</t>
  </si>
  <si>
    <t xml:space="preserve">1.4 kg</t>
  </si>
  <si>
    <t xml:space="preserve">Designated charger C-1401B</t>
  </si>
  <si>
    <t xml:space="preserve">HY battEliiy P-series (Suzuki)</t>
  </si>
  <si>
    <t xml:space="preserve">HY93SS</t>
  </si>
  <si>
    <t xml:space="preserve">Current (2025)</t>
  </si>
  <si>
    <t xml:space="preserve">CCA 100 A</t>
  </si>
  <si>
    <t xml:space="preserve">112 × 70 × 85</t>
  </si>
  <si>
    <t xml:space="preserve">0.9 kg</t>
  </si>
  <si>
    <t xml:space="preserve">BMU-less 'SyncCell' self-balancing electrolyte; replaceable fuse SBFW-L(M6)</t>
  </si>
  <si>
    <t xml:space="preserve">S3</t>
  </si>
  <si>
    <t xml:space="preserve">HY110SS</t>
  </si>
  <si>
    <t xml:space="preserve">CCA 120 A</t>
  </si>
  <si>
    <t xml:space="preserve">1.24 kg</t>
  </si>
  <si>
    <t xml:space="preserve">SyncCell, replaceable fuse</t>
  </si>
  <si>
    <t xml:space="preserve">PPS-30</t>
  </si>
  <si>
    <t xml:space="preserve">2.5 kWh</t>
  </si>
  <si>
    <t xml:space="preserve">Plug-in, not grid-tied</t>
  </si>
  <si>
    <t xml:space="preserve">AC 100 V in/out</t>
  </si>
  <si>
    <t xml:space="preserve">1.5 kVA / 1.4 kW</t>
  </si>
  <si>
    <t xml:space="preserve">Solar input (direct)</t>
  </si>
  <si>
    <t xml:space="preserve">≈4 h (≈2 h fast mode)</t>
  </si>
  <si>
    <t xml:space="preserve">≈90 min</t>
  </si>
  <si>
    <t xml:space="preserve">320 × 585 × 514</t>
  </si>
  <si>
    <t xml:space="preserve">52 kg</t>
  </si>
  <si>
    <t xml:space="preserve">−10 to 40 °C</t>
  </si>
  <si>
    <t xml:space="preserve">12,000 cycles; 10-yr warranty; 10-yr use limit</t>
  </si>
  <si>
    <t xml:space="preserve">SiC power devices, 38 dB, ELIIY CLOUD remote monitoring, no installation work</t>
  </si>
  <si>
    <t xml:space="preserve">S5, S6</t>
  </si>
  <si>
    <t xml:space="preserve">POWER YIILE HEYA</t>
  </si>
  <si>
    <t xml:space="preserve">PPS-40</t>
  </si>
  <si>
    <t xml:space="preserve">Wall-mount indoor ESS</t>
  </si>
  <si>
    <t xml:space="preserve">1.3 kWh</t>
  </si>
  <si>
    <t xml:space="preserve">1.1 kWh effective (JEM1511)</t>
  </si>
  <si>
    <t xml:space="preserve">AC 101 V</t>
  </si>
  <si>
    <t xml:space="preserve">500 VA / 500 W</t>
  </si>
  <si>
    <t xml:space="preserve">≈3 h</t>
  </si>
  <si>
    <t xml:space="preserve">≈120 min</t>
  </si>
  <si>
    <t xml:space="preserve">650 × 150 × 390</t>
  </si>
  <si>
    <t xml:space="preserve">≈30 kg</t>
  </si>
  <si>
    <t xml:space="preserve">For apartments; LTE + Bluetooth monitoring; ~15 s switchover</t>
  </si>
  <si>
    <t xml:space="preserve">S8</t>
  </si>
  <si>
    <t xml:space="preserve">POWER YIILE HEYA S</t>
  </si>
  <si>
    <t xml:space="preserve">1.1 kWh effective</t>
  </si>
  <si>
    <t xml:space="preserve">658 × 270 × 472</t>
  </si>
  <si>
    <t xml:space="preserve">≈40 kg</t>
  </si>
  <si>
    <t xml:space="preserve">10-yr warranty</t>
  </si>
  <si>
    <t xml:space="preserve">≈0.004 s switchover (not a UPS); 38 dB</t>
  </si>
  <si>
    <t xml:space="preserve">S9</t>
  </si>
  <si>
    <t xml:space="preserve">POWER iE5 GRID (1 unit)</t>
  </si>
  <si>
    <t xml:space="preserve">EPS-40S</t>
  </si>
  <si>
    <t xml:space="preserve">Home hybrid ESS (whole-house)</t>
  </si>
  <si>
    <t xml:space="preserve">5.4 kWh</t>
  </si>
  <si>
    <t xml:space="preserve">4.9 kWh effective</t>
  </si>
  <si>
    <t xml:space="preserve">202 V / 101 V</t>
  </si>
  <si>
    <t xml:space="preserve">Grid 8.4 kVA (8.0 kW)</t>
  </si>
  <si>
    <t xml:space="preserve">Backup 5.5 kVA; PV in 8.6 kW, 4 strings, MPPT 30–450 V</t>
  </si>
  <si>
    <t xml:space="preserve">≈1–2 h</t>
  </si>
  <si>
    <t xml:space="preserve">≈50 min</t>
  </si>
  <si>
    <t xml:space="preserve">Battery 610 × 300 × 991; PCS 445 × 198 × 698</t>
  </si>
  <si>
    <t xml:space="preserve">125 kg + 33 kg</t>
  </si>
  <si>
    <t xml:space="preserve">−20 to 45 °C (outdoor)</t>
  </si>
  <si>
    <t xml:space="preserve">15-yr capacity (70%) + 15-yr system warranty</t>
  </si>
  <si>
    <t xml:space="preserve">Full-load backup incl. 200 V appliances; Ene-Farm link; AI-SOLA cloud control</t>
  </si>
  <si>
    <t xml:space="preserve">S7</t>
  </si>
  <si>
    <t xml:space="preserve">POWER iE5 GRID (2 units)</t>
  </si>
  <si>
    <t xml:space="preserve">EPS-40D</t>
  </si>
  <si>
    <t xml:space="preserve">10.8 kWh</t>
  </si>
  <si>
    <t xml:space="preserve">2 battery units</t>
  </si>
  <si>
    <t xml:space="preserve">Backup 5.5 kVA</t>
  </si>
  <si>
    <t xml:space="preserve">≈3–5 h</t>
  </si>
  <si>
    <t xml:space="preserve">≈100 min</t>
  </si>
  <si>
    <t xml:space="preserve">2 × battery units</t>
  </si>
  <si>
    <t xml:space="preserve">2 × 125 kg + 33 kg</t>
  </si>
  <si>
    <t xml:space="preserve">−20 to 45 °C</t>
  </si>
  <si>
    <t xml:space="preserve">15-yr warranties</t>
  </si>
  <si>
    <t xml:space="preserve">Second unit can be added later</t>
  </si>
  <si>
    <t xml:space="preserve">Power Storager GX</t>
  </si>
  <si>
    <t xml:space="preserve">Current (Apr 2025)</t>
  </si>
  <si>
    <t xml:space="preserve">22.5 – 1,006.3 kWh</t>
  </si>
  <si>
    <t xml:space="preserve">Modular</t>
  </si>
  <si>
    <t xml:space="preserve">1-ph 202/101 V; 3-ph 202 / 420 / 440 V</t>
  </si>
  <si>
    <t xml:space="preserve">PCS 10 – 300 kW</t>
  </si>
  <si>
    <t xml:space="preserve">PV MPPT 15 – 450 kW</t>
  </si>
  <si>
    <t xml:space="preserve">Indoor / outdoor / salt-resistant cabinets</t>
  </si>
  <si>
    <t xml:space="preserve">Cell: 17,000 cycles to 70%</t>
  </si>
  <si>
    <t xml:space="preserve">All-in-one PCS, DC-link PV converter, EMS, UPS switch, isolation transformer; 100% made in Japan</t>
  </si>
  <si>
    <t xml:space="preserve">S10, S20</t>
  </si>
  <si>
    <t xml:space="preserve">Power Storager X</t>
  </si>
  <si>
    <t xml:space="preserve">16.2 – 129.6 kWh</t>
  </si>
  <si>
    <t xml:space="preserve">16.2 kWh steps</t>
  </si>
  <si>
    <t xml:space="preserve">3-phase</t>
  </si>
  <si>
    <t xml:space="preserve">10 kW / 20 kW</t>
  </si>
  <si>
    <t xml:space="preserve">Built-in PV PCS</t>
  </si>
  <si>
    <t xml:space="preserve">Peak-shift / peak-cut / backup; 3-ph in, 3-ph &amp; 1-ph out</t>
  </si>
  <si>
    <t xml:space="preserve">S11</t>
  </si>
  <si>
    <t xml:space="preserve">Power Storager D20</t>
  </si>
  <si>
    <t xml:space="preserve">SPS020S2-xxx</t>
  </si>
  <si>
    <t xml:space="preserve">C&amp;I backup ESS</t>
  </si>
  <si>
    <t xml:space="preserve">Current (2021)</t>
  </si>
  <si>
    <t xml:space="preserve">21.7 / 43.4 / 65.1 kWh</t>
  </si>
  <si>
    <t xml:space="preserve">3 variants</t>
  </si>
  <si>
    <t xml:space="preserve">1-ph 100/200 V, 3-ph 200 V</t>
  </si>
  <si>
    <t xml:space="preserve">20 kVA</t>
  </si>
  <si>
    <t xml:space="preserve">No-break UPS function</t>
  </si>
  <si>
    <t xml:space="preserve">≈65 / 130 / 195 min</t>
  </si>
  <si>
    <t xml:space="preserve">Emergency power for offices, factories, warehouses</t>
  </si>
  <si>
    <t xml:space="preserve">S12</t>
  </si>
  <si>
    <t xml:space="preserve">Custom</t>
  </si>
  <si>
    <t xml:space="preserve">Custom-built</t>
  </si>
  <si>
    <t xml:space="preserve">≈270 kWh (2 × 136 kWh)</t>
  </si>
  <si>
    <t xml:space="preserve">896 cells per 136 kWh panel</t>
  </si>
  <si>
    <t xml:space="preserve">200 kVA per power panel</t>
  </si>
  <si>
    <t xml:space="preserve">Paired with 70 kW PV</t>
  </si>
  <si>
    <t xml:space="preserve">&gt;4 h dry-room backup</t>
  </si>
  <si>
    <t xml:space="preserve">Installed at ELIIY's Kawasaki cell plant</t>
  </si>
  <si>
    <t xml:space="preserve">S14</t>
  </si>
  <si>
    <t xml:space="preserve">ELIIY ONE</t>
  </si>
  <si>
    <t xml:space="preserve">End-of-life</t>
  </si>
  <si>
    <t xml:space="preserve">155 Wh (48,500 mAh)</t>
  </si>
  <si>
    <t xml:space="preserve">1 L-series cell</t>
  </si>
  <si>
    <t xml:space="preserve">USB</t>
  </si>
  <si>
    <t xml:space="preserve">10 × USB ports</t>
  </si>
  <si>
    <t xml:space="preserve">Solar charging</t>
  </si>
  <si>
    <t xml:space="preserve">LED 1.3 W ≈80 h</t>
  </si>
  <si>
    <t xml:space="preserve">≈20 phone charges; Good Design Best 100 (2014)</t>
  </si>
  <si>
    <t xml:space="preserve">S15</t>
  </si>
  <si>
    <t xml:space="preserve">Power Storager 10</t>
  </si>
  <si>
    <t xml:space="preserve">14.7 / 29.4 / 44.1 / 58.8 kWh</t>
  </si>
  <si>
    <t xml:space="preserve">4 variants</t>
  </si>
  <si>
    <t xml:space="preserve">10 kVA</t>
  </si>
  <si>
    <t xml:space="preserve">10-yr inspection</t>
  </si>
  <si>
    <t xml:space="preserve">Backup, peak-shift and solar self-run modes</t>
  </si>
  <si>
    <t xml:space="preserve">S13</t>
  </si>
  <si>
    <t xml:space="preserve">POWER iE6 / iE6 HYBRID</t>
  </si>
  <si>
    <t xml:space="preserve">Home ESS / solar hybrid</t>
  </si>
  <si>
    <t xml:space="preserve">6.2 kWh</t>
  </si>
  <si>
    <t xml:space="preserve">100 V backup</t>
  </si>
  <si>
    <t xml:space="preserve">Battery out 2.0 kW, in 1.5 kW</t>
  </si>
  <si>
    <t xml:space="preserve">Integrated solar PCS (HYBRID)</t>
  </si>
  <si>
    <t xml:space="preserve">Installed in all 66 homes of a Daiwa House smart town (Mie)</t>
  </si>
  <si>
    <t xml:space="preserve">S16</t>
  </si>
  <si>
    <t xml:space="preserve">Grey rows = discontinued. Wh for starter batteries = 12 V × Ah (nominal). PD50S06 capacity is derived from the 48.5 A (1C) test current, not a published datasheet value.</t>
  </si>
  <si>
    <t xml:space="preserve">ELIIY Power – Where the Products Are Used</t>
  </si>
  <si>
    <t xml:space="preserve">Named OEMs and customers are those ELIIY Power or trade press have publicly disclosed.</t>
  </si>
  <si>
    <t xml:space="preserve">Segment</t>
  </si>
  <si>
    <t xml:space="preserve">Typical application</t>
  </si>
  <si>
    <t xml:space="preserve">Named OEMs / customers / sites</t>
  </si>
  <si>
    <t xml:space="preserve">Motorcycle OEM (Honda)</t>
  </si>
  <si>
    <t xml:space="preserve">Factory-fit starter on motocross race bikes</t>
  </si>
  <si>
    <t xml:space="preserve">Honda CRF250R, CRF450R, CRF450RX; Monster Energy Honda Team (Dakar Rally 2021 win)</t>
  </si>
  <si>
    <t xml:space="preserve">S2, S1</t>
  </si>
  <si>
    <t xml:space="preserve">Motorcycle OEM + aftermarket</t>
  </si>
  <si>
    <t xml:space="preserve">Factory-fit starter on superbikes / off-road</t>
  </si>
  <si>
    <t xml:space="preserve">Honda CBR1000RR SP / SP2, CRF450L; sold in Japanese aftermarket from 2019</t>
  </si>
  <si>
    <t xml:space="preserve">Factory-fit starter on adventure bikes</t>
  </si>
  <si>
    <t xml:space="preserve">Honda CRF1000L Africa Twin</t>
  </si>
  <si>
    <t xml:space="preserve">Motorcycle OEM (Suzuki)</t>
  </si>
  <si>
    <t xml:space="preserve">Genuine-part starter</t>
  </si>
  <si>
    <t xml:space="preserve">Suzuki GSX-8T / GSX-8TT, GSX-R1000 / R1000R; Yoshimura SERT Motul endurance team</t>
  </si>
  <si>
    <t xml:space="preserve">Suzuki Hayabusa</t>
  </si>
  <si>
    <t xml:space="preserve">Office BCP / public / home</t>
  </si>
  <si>
    <t xml:space="preserve">Plug-in emergency power for phones, PCs, lights, fridge</t>
  </si>
  <si>
    <t xml:space="preserve">NTT Docomo (~1,200 shops), Meiji Yasuda Life (102 branches), Daiwa House rental homes (every unit), 91 evacuation centres in Funabashi</t>
  </si>
  <si>
    <t xml:space="preserve">S21, S22, S23</t>
  </si>
  <si>
    <t xml:space="preserve">POWER YIILE HEYA / HEYA S</t>
  </si>
  <si>
    <t xml:space="preserve">Apartments / small offices</t>
  </si>
  <si>
    <t xml:space="preserve">Compact wall or floor backup for flats</t>
  </si>
  <si>
    <t xml:space="preserve">Multi-family housing; Good Design Best 100 (2019)</t>
  </si>
  <si>
    <t xml:space="preserve">S8, S9</t>
  </si>
  <si>
    <t xml:space="preserve">Detached homes</t>
  </si>
  <si>
    <t xml:space="preserve">Solar self-consumption + whole-house outage backup</t>
  </si>
  <si>
    <t xml:space="preserve">Japanese homes with rooftop PV; subsidy-eligible</t>
  </si>
  <si>
    <t xml:space="preserve">Power Storager GX / X / D20</t>
  </si>
  <si>
    <t xml:space="preserve">Commercial &amp; industrial</t>
  </si>
  <si>
    <t xml:space="preserve">Peak-cut, solar self-consumption, BCP, UPS</t>
  </si>
  <si>
    <t xml:space="preserve">Hanshin Tigers farm 'Zero Carbon Baseball Park', Benesse Style Care elder homes, Cosmo Oil R&amp;D centre (demand response); 1 MWh at ELIIY Kawasaki plant</t>
  </si>
  <si>
    <t xml:space="preserve">S20, S10</t>
  </si>
  <si>
    <t xml:space="preserve">270 kWh custom</t>
  </si>
  <si>
    <t xml:space="preserve">Industrial</t>
  </si>
  <si>
    <t xml:space="preserve">Critical-load backup for battery dry room</t>
  </si>
  <si>
    <t xml:space="preserve">ELIIY Power Kawasaki cell plant</t>
  </si>
  <si>
    <t xml:space="preserve">L-series cells / packs</t>
  </si>
  <si>
    <t xml:space="preserve">B2B cell supply</t>
  </si>
  <si>
    <t xml:space="preserve">Cells inside partner storage systems</t>
  </si>
  <si>
    <t xml:space="preserve">Enphase Energy AC Battery (8-cell 1.2 kWh modules); Daiwa House, Secom; Mazda / Ube joint work on car starter Li-ion</t>
  </si>
  <si>
    <t xml:space="preserve">S18, S17, S4</t>
  </si>
  <si>
    <t xml:space="preserve">Company</t>
  </si>
  <si>
    <t xml:space="preserve">Strategic</t>
  </si>
  <si>
    <t xml:space="preserve">Investor / partner</t>
  </si>
  <si>
    <t xml:space="preserve">Suzuki (additional investment &amp; business alliance, Nov 2023); other shareholders incl. Daiwa House, Toray, Alps Alpine</t>
  </si>
  <si>
    <t xml:space="preserve">S42</t>
  </si>
  <si>
    <t xml:space="preserve">ELIIY Power vs Indian OEM vs Chinese OEM – Rates</t>
  </si>
  <si>
    <t xml:space="preserve">Yellow rows/cells = estimate (no published figure found). Blue = hardcoded input. ₹ conversions use Assumptions sheet.</t>
  </si>
  <si>
    <t xml:space="preserve">ELIIY model</t>
  </si>
  <si>
    <t xml:space="preserve">Capacity (kWh)</t>
  </si>
  <si>
    <t xml:space="preserve">ELIIY price</t>
  </si>
  <si>
    <t xml:space="preserve">ELIIY ccy</t>
  </si>
  <si>
    <t xml:space="preserve">ELIIY price basis</t>
  </si>
  <si>
    <t xml:space="preserve">ELIIY (₹)</t>
  </si>
  <si>
    <t xml:space="preserve">ELIIY ₹/kWh</t>
  </si>
  <si>
    <t xml:space="preserve">Indian OEM equivalent</t>
  </si>
  <si>
    <t xml:space="preserve">India low</t>
  </si>
  <si>
    <t xml:space="preserve">India high</t>
  </si>
  <si>
    <t xml:space="preserve">India ccy</t>
  </si>
  <si>
    <t xml:space="preserve">India mid (₹)</t>
  </si>
  <si>
    <t xml:space="preserve">India ₹/kWh</t>
  </si>
  <si>
    <t xml:space="preserve">India basis</t>
  </si>
  <si>
    <t xml:space="preserve">Chinese OEM equivalent</t>
  </si>
  <si>
    <t xml:space="preserve">China low</t>
  </si>
  <si>
    <t xml:space="preserve">China high</t>
  </si>
  <si>
    <t xml:space="preserve">China ccy</t>
  </si>
  <si>
    <t xml:space="preserve">China mid (₹)</t>
  </si>
  <si>
    <t xml:space="preserve">China ₹/kWh</t>
  </si>
  <si>
    <t xml:space="preserve">China basis</t>
  </si>
  <si>
    <t xml:space="preserve">ELIIY ÷ China (x)</t>
  </si>
  <si>
    <t xml:space="preserve">ELIIY ÷ India (x)</t>
  </si>
  <si>
    <t xml:space="preserve">Sources</t>
  </si>
  <si>
    <t xml:space="preserve">Motorcycle starter 12 V ~4.5 Ah</t>
  </si>
  <si>
    <t xml:space="preserve">Japan aftermarket list, ex-tax (2019 launch)</t>
  </si>
  <si>
    <t xml:space="preserve">Lead-acid VRLA 7 Ah (Exide Bikerz) – what Indian 2W OEMs fit today</t>
  </si>
  <si>
    <t xml:space="preserve">Published dealer price (IndiaMART)</t>
  </si>
  <si>
    <t xml:space="preserve">LiFePO4 starter 3–4 Ah, 180–240 CCA (e.g. Skyrich HJTX9/HJTZ10S class)</t>
  </si>
  <si>
    <t xml:space="preserve">ESTIMATE – factory FOB; EU dealer price for same class is €45–70</t>
  </si>
  <si>
    <t xml:space="preserve">S4, S24, S25</t>
  </si>
  <si>
    <t xml:space="preserve">Motorcycle starter 12 V ~6 Ah</t>
  </si>
  <si>
    <t xml:space="preserve">Lead-acid VRLA 9 Ah (Exide Bikerz 12BV9-B)</t>
  </si>
  <si>
    <t xml:space="preserve">Published dealer price (IndiaMART); low end estimated</t>
  </si>
  <si>
    <t xml:space="preserve">LiFePO4 starter ~4–5 Ah, 240–290 CCA</t>
  </si>
  <si>
    <t xml:space="preserve">ESTIMATE – factory FOB; EU dealer €70–86</t>
  </si>
  <si>
    <t xml:space="preserve">Portable indoor ESS ~2.5 kWh</t>
  </si>
  <si>
    <t xml:space="preserve">Retail incl. tax (BicCamera)</t>
  </si>
  <si>
    <t xml:space="preserve">Indian LFP 2.4–2.5 kWh module (Livguard / LOOM Atom class) – battery only</t>
  </si>
  <si>
    <t xml:space="preserve">Published price range (battery only; add inverter)</t>
  </si>
  <si>
    <t xml:space="preserve">LiFePO4 portable power station ~2.5 kWh (OEM/ODM)</t>
  </si>
  <si>
    <t xml:space="preserve">ESTIMATE – $0.15–0.25/Wh factory; branded retail ≈$0.41/Wh (EcoFlow River 2 Pro)</t>
  </si>
  <si>
    <t xml:space="preserve">S5, S27, S28</t>
  </si>
  <si>
    <t xml:space="preserve">Wall-mount indoor ESS ~1.3 kWh</t>
  </si>
  <si>
    <t xml:space="preserve">Not published – quote only</t>
  </si>
  <si>
    <t xml:space="preserve">Indian LFP ~1.3 kWh (pro-rata of ₹20k–35k/kWh)</t>
  </si>
  <si>
    <t xml:space="preserve">Derived from published ₹/kWh range</t>
  </si>
  <si>
    <t xml:space="preserve">LiFePO4 wall battery ~1.3 kWh</t>
  </si>
  <si>
    <t xml:space="preserve">ESTIMATE – pro-rata of 5 kWh factory pricing</t>
  </si>
  <si>
    <t xml:space="preserve">S26, S29</t>
  </si>
  <si>
    <t xml:space="preserve">Home hybrid ESS 5 kWh class</t>
  </si>
  <si>
    <t xml:space="preserve">POWER iE5 GRID (EPS-40S)</t>
  </si>
  <si>
    <t xml:space="preserve">Not published – dealer quote only</t>
  </si>
  <si>
    <t xml:space="preserve">Luminous / Exide 5 kWh LFP</t>
  </si>
  <si>
    <t xml:space="preserve">Published price range, Jun 2026</t>
  </si>
  <si>
    <t xml:space="preserve">51.2 V 5.12 kWh all-in-one wall unit (LiFePower ALW-5kW)</t>
  </si>
  <si>
    <t xml:space="preserve">Published factory price, MOQ 100+ (ENF)</t>
  </si>
  <si>
    <t xml:space="preserve">S7, S26, S29</t>
  </si>
  <si>
    <t xml:space="preserve">Home hybrid ESS 10 kWh class</t>
  </si>
  <si>
    <t xml:space="preserve">POWER iE5 GRID (EPS-40D)</t>
  </si>
  <si>
    <t xml:space="preserve">Luminous / Exide 10 kWh LFP</t>
  </si>
  <si>
    <t xml:space="preserve">2 × 5.12 kWh wall units</t>
  </si>
  <si>
    <t xml:space="preserve">Derived: 2 × published unit price</t>
  </si>
  <si>
    <t xml:space="preserve">C&amp;I ESS (per kWh, turnkey)</t>
  </si>
  <si>
    <t xml:space="preserve">Not published – project quote</t>
  </si>
  <si>
    <t xml:space="preserve">Indian 1 MWh C&amp;I turnkey system</t>
  </si>
  <si>
    <t xml:space="preserve">Published: ₹2.8–3.2 cr per MWh, 2026</t>
  </si>
  <si>
    <t xml:space="preserve">Chinese C&amp;I ESS (e.g. 261 kWh all-in-one cabinet)</t>
  </si>
  <si>
    <t xml:space="preserve">Published SMM range $0.07–0.09/Wh (BNEF avg $77/kWh)</t>
  </si>
  <si>
    <t xml:space="preserve">S30, S31, S32</t>
  </si>
  <si>
    <t xml:space="preserve">LFP cells (per kWh)</t>
  </si>
  <si>
    <t xml:space="preserve">HY battEliiy L-series PD50S06</t>
  </si>
  <si>
    <t xml:space="preserve">Not published</t>
  </si>
  <si>
    <t xml:space="preserve">Landed LFP cell / pack procurement in India (mostly imported)</t>
  </si>
  <si>
    <t xml:space="preserve">Published: IESA $55–60, Crisil $70–75/kWh (2026)</t>
  </si>
  <si>
    <t xml:space="preserve">Chinese LFP storage cells (100 Ah → 314 Ah)</t>
  </si>
  <si>
    <t xml:space="preserve">Published: CNY 0.360–0.443/Wh, Jul 2026</t>
  </si>
  <si>
    <t xml:space="preserve">S33, S34, S35, S36</t>
  </si>
  <si>
    <t xml:space="preserve">Notes</t>
  </si>
  <si>
    <t xml:space="preserve">• 'Indian OEM' for starters = lead-acid VRLA, because Indian 2-wheeler OEMs still factory-fit lead-acid; no published Indian OEM rate for Li-ion starters was found.</t>
  </si>
  <si>
    <t xml:space="preserve">• Indian per-kWh figures are battery-only unless stated; ELIIY units include inverter/PCS, so like-for-like gap is somewhat smaller than shown.</t>
  </si>
  <si>
    <t xml:space="preserve">• ELIIY sells mainly in Japan; prices for iE5 GRID, HEYA, GX/X/D20 and cells are quote-only. Rows show India vs China only for those.</t>
  </si>
  <si>
    <t xml:space="preserve">• Starter-battery ₹/kWh is shown for completeness; compare starters per unit (CCA, weight, life), not per kWh.</t>
  </si>
  <si>
    <t xml:space="preserve">Chart data – storage ₹/kWh (India vs China)</t>
  </si>
  <si>
    <t xml:space="preserve">Portable ~2.5 kWh</t>
  </si>
  <si>
    <t xml:space="preserve">Home 5 kWh</t>
  </si>
  <si>
    <t xml:space="preserve">Home 10 kWh</t>
  </si>
  <si>
    <t xml:space="preserve">C&amp;I turnkey</t>
  </si>
  <si>
    <t xml:space="preserve">LFP cells</t>
  </si>
  <si>
    <t xml:space="preserve">ELIIY POWER YIILE 3 for reference (₹/kWh):</t>
  </si>
  <si>
    <t xml:space="preserve">Battery &amp; BESS Price Benchmarks – India vs China (2025–26)</t>
  </si>
  <si>
    <t xml:space="preserve">Context for OEM rates above. Blue = published figure.</t>
  </si>
  <si>
    <t xml:space="preserve">Market</t>
  </si>
  <si>
    <t xml:space="preserve">Metric</t>
  </si>
  <si>
    <t xml:space="preserve">₹ equivalent</t>
  </si>
  <si>
    <t xml:space="preserve">₹ unit</t>
  </si>
  <si>
    <t xml:space="preserve">Date</t>
  </si>
  <si>
    <t xml:space="preserve">China</t>
  </si>
  <si>
    <t xml:space="preserve">314 Ah LFP storage cell (InfoLink avg)</t>
  </si>
  <si>
    <t xml:space="preserve">CNY/Wh</t>
  </si>
  <si>
    <t xml:space="preserve">₹/kWh</t>
  </si>
  <si>
    <t xml:space="preserve">Apr 2026</t>
  </si>
  <si>
    <t xml:space="preserve">S33</t>
  </si>
  <si>
    <t xml:space="preserve">280/314 Ah LFP storage cell (tax-incl.)</t>
  </si>
  <si>
    <t xml:space="preserve">Jul 2026</t>
  </si>
  <si>
    <t xml:space="preserve">S34</t>
  </si>
  <si>
    <t xml:space="preserve">100 Ah LFP cell</t>
  </si>
  <si>
    <t xml:space="preserve">2-h DC-side liquid-cooled ESS (avg)</t>
  </si>
  <si>
    <t xml:space="preserve">C&amp;I ESS system (SMM avg)</t>
  </si>
  <si>
    <t xml:space="preserve">USD/kWh</t>
  </si>
  <si>
    <t xml:space="preserve">Dec 2025</t>
  </si>
  <si>
    <t xml:space="preserve">S31</t>
  </si>
  <si>
    <t xml:space="preserve">C&amp;I / data-centre turnkey (BNEF avg)</t>
  </si>
  <si>
    <t xml:space="preserve">2025</t>
  </si>
  <si>
    <t xml:space="preserve">S32</t>
  </si>
  <si>
    <t xml:space="preserve">Utility turnkey ESS (BNEF avg)</t>
  </si>
  <si>
    <t xml:space="preserve">Grid-scale EPC, 4-h (avg winning bid)</t>
  </si>
  <si>
    <t xml:space="preserve">Q1 2026</t>
  </si>
  <si>
    <t xml:space="preserve">S41</t>
  </si>
  <si>
    <t xml:space="preserve">India</t>
  </si>
  <si>
    <t xml:space="preserve">Battery procurement price (Crisil)</t>
  </si>
  <si>
    <t xml:space="preserve">2026</t>
  </si>
  <si>
    <t xml:space="preserve">S35</t>
  </si>
  <si>
    <t xml:space="preserve">Battery price (IESA)</t>
  </si>
  <si>
    <t xml:space="preserve">Jun 2026</t>
  </si>
  <si>
    <t xml:space="preserve">S36</t>
  </si>
  <si>
    <t xml:space="preserve">LFP home battery (retail range mid)</t>
  </si>
  <si>
    <t xml:space="preserve">INR/kWh</t>
  </si>
  <si>
    <t xml:space="preserve">S26</t>
  </si>
  <si>
    <t xml:space="preserve">C&amp;I 1 MWh turnkey (mid of ₹2.8–3.2 cr)</t>
  </si>
  <si>
    <t xml:space="preserve">S30</t>
  </si>
  <si>
    <t xml:space="preserve">Standalone BESS tariff, 4-h (Rajasthan L1)</t>
  </si>
  <si>
    <t xml:space="preserve">INR/MW/month</t>
  </si>
  <si>
    <t xml:space="preserve">₹/MW/month</t>
  </si>
  <si>
    <t xml:space="preserve">Nov 2025</t>
  </si>
  <si>
    <t xml:space="preserve">S38</t>
  </si>
  <si>
    <t xml:space="preserve">Standalone BESS tariff, 2-h (Kerala L1)</t>
  </si>
  <si>
    <t xml:space="preserve">Jan 2026</t>
  </si>
  <si>
    <t xml:space="preserve">S37</t>
  </si>
  <si>
    <t xml:space="preserve">Standalone BESS tariff, 2-h (lowest L1 tracked)</t>
  </si>
  <si>
    <t xml:space="preserve">May 2026</t>
  </si>
  <si>
    <t xml:space="preserve">S39</t>
  </si>
  <si>
    <t xml:space="preserve">ID</t>
  </si>
  <si>
    <t xml:space="preserve">Description</t>
  </si>
  <si>
    <t xml:space="preserve">URL</t>
  </si>
  <si>
    <t xml:space="preserve">S1</t>
  </si>
  <si>
    <t xml:space="preserve">ELIIY Power – English home &amp; news (Dakar 2021, Suzuki alliance)</t>
  </si>
  <si>
    <t xml:space="preserve">https://www.eliiypower.co.jp/english</t>
  </si>
  <si>
    <t xml:space="preserve">HY battEliiy P-series spec page</t>
  </si>
  <si>
    <t xml:space="preserve">https://www.eliiypower.co.jp/english/products-en/motorcycle-en/hybattery-p-en</t>
  </si>
  <si>
    <t xml:space="preserve">HY battEliiy P-series – Suzuki models (HY93SS / HY110SS)</t>
  </si>
  <si>
    <t xml:space="preserve">https://www.eliiypower.co.jp/english/products-en/motorcycle-en/hybattery-p2-en</t>
  </si>
  <si>
    <t xml:space="preserve">S4</t>
  </si>
  <si>
    <t xml:space="preserve">MONOist – HY93-C / HY110 aftermarket launch &amp; prices (Mar 2019)</t>
  </si>
  <si>
    <t xml:space="preserve">https://monoist.itmedia.co.jp/mn/articles/1903/25/news050.html</t>
  </si>
  <si>
    <t xml:space="preserve">S5</t>
  </si>
  <si>
    <t xml:space="preserve">BicCamera – POWER YIILE 3 PPS-30 price &amp; specs</t>
  </si>
  <si>
    <t xml:space="preserve">https://www.biccamera.com/bc/item/6450611/</t>
  </si>
  <si>
    <t xml:space="preserve">S6</t>
  </si>
  <si>
    <t xml:space="preserve">Taiyoko-kakaku – POWER YIILE 3 specs (cycles, size, weight)</t>
  </si>
  <si>
    <t xml:space="preserve">https://www.taiyoko-kakaku.jp/product/eliiypower3</t>
  </si>
  <si>
    <t xml:space="preserve">POWER iE5 GRID catalogue (PDF)</t>
  </si>
  <si>
    <t xml:space="preserve">https://www.eliiypower.co.jp/files/pdf/catalog_PiE5G.pdf</t>
  </si>
  <si>
    <t xml:space="preserve">POWER YIILE HEYA press release (Jul 2019)</t>
  </si>
  <si>
    <t xml:space="preserve">https://www.eliiypower.co.jp/files/pdf/20190726.pdf</t>
  </si>
  <si>
    <t xml:space="preserve">POWER YIILE HEYA S press release (Aug 2019)</t>
  </si>
  <si>
    <t xml:space="preserve">https://www.eliiypower.co.jp/files/pdf/20190830.pdf</t>
  </si>
  <si>
    <t xml:space="preserve">S10</t>
  </si>
  <si>
    <t xml:space="preserve">Power Storager GX catalogue (Feb 2025)</t>
  </si>
  <si>
    <t xml:space="preserve">https://eliiypower.co.jp/files/pdf/catalog_PS-GX_202502.pdf</t>
  </si>
  <si>
    <t xml:space="preserve">Power Storager X catalogue</t>
  </si>
  <si>
    <t xml:space="preserve">https://www.eliiypower.co.jp/files/pdf/catalog_PowerStragerX.pdf</t>
  </si>
  <si>
    <t xml:space="preserve">Power Storager D20 press release (Feb 2021)</t>
  </si>
  <si>
    <t xml:space="preserve">https://www.eliiypower.co.jp/files/pdf/20210218.pdf</t>
  </si>
  <si>
    <t xml:space="preserve">Power Storager 10 press release (Nov 2012)</t>
  </si>
  <si>
    <t xml:space="preserve">https://www.eliiypower.co.jp/files/pdf/20121121.pdf</t>
  </si>
  <si>
    <t xml:space="preserve">270 kWh custom system page</t>
  </si>
  <si>
    <t xml:space="preserve">https://www.eliiypower.co.jp/english/products-en/custom-en/270kwh-en</t>
  </si>
  <si>
    <t xml:space="preserve">ELIIY ONE page</t>
  </si>
  <si>
    <t xml:space="preserve">https://www.eliiypower.co.jp/english/products-en/general-en/stand-alone-en/eliiyone-en</t>
  </si>
  <si>
    <t xml:space="preserve">POWER iE6 HYBRID release (Feb 2015)</t>
  </si>
  <si>
    <t xml:space="preserve">https://www.eliiypower.co.jp/files/english/pdf/20150224_Release.pdf</t>
  </si>
  <si>
    <t xml:space="preserve">S17</t>
  </si>
  <si>
    <t xml:space="preserve">ELIIY Power battery cell key technology</t>
  </si>
  <si>
    <t xml:space="preserve">https://www.eliiypower.co.jp/english/technical-en/1oc9y</t>
  </si>
  <si>
    <t xml:space="preserve">S18</t>
  </si>
  <si>
    <t xml:space="preserve">Enphase battery-pack supply deal (Oct 2015)</t>
  </si>
  <si>
    <t xml:space="preserve">https://www.eliiypower.co.jp/files/english/pdf/20151016_Release.pdf</t>
  </si>
  <si>
    <t xml:space="preserve">S19</t>
  </si>
  <si>
    <t xml:space="preserve">BEST Magazine – 12,000 cycles &gt;80%, plant capacity</t>
  </si>
  <si>
    <t xml:space="preserve">https://www.bestmag.co.uk/?p=25275</t>
  </si>
  <si>
    <t xml:space="preserve">S20</t>
  </si>
  <si>
    <t xml:space="preserve">MONOist – Power Storager GX briefing (May 2025)</t>
  </si>
  <si>
    <t xml:space="preserve">https://monoist.itmedia.co.jp/mn/spv/2505/30/news079_2.html</t>
  </si>
  <si>
    <t xml:space="preserve">S21</t>
  </si>
  <si>
    <t xml:space="preserve">NTT Docomo shops – POWER YIILE 3 delivery (Jun 2019)</t>
  </si>
  <si>
    <t xml:space="preserve">https://www.eliiypower.co.jp/files/pdf/20190606.pdf</t>
  </si>
  <si>
    <t xml:space="preserve">S22</t>
  </si>
  <si>
    <t xml:space="preserve">Meiji Yasuda Life – POWER YIILE 3 delivery (Apr 2019)</t>
  </si>
  <si>
    <t xml:space="preserve">https://www.eliiypower.co.jp/files/pdf/20190417.pdf</t>
  </si>
  <si>
    <t xml:space="preserve">S23</t>
  </si>
  <si>
    <t xml:space="preserve">Daiwa House rental housing adoption (Jul 2016)</t>
  </si>
  <si>
    <t xml:space="preserve">https://www.eliiypower.co.jp/files/pdf/20160701.pdf</t>
  </si>
  <si>
    <t xml:space="preserve">S24</t>
  </si>
  <si>
    <t xml:space="preserve">IndiaMART – Exide Bikerz VRLA dealer prices</t>
  </si>
  <si>
    <t xml:space="preserve">https://m.indiamart.com/saffron-engineering/photos.html</t>
  </si>
  <si>
    <t xml:space="preserve">S25</t>
  </si>
  <si>
    <t xml:space="preserve">Skyrich LiFePO4 motorcycle battery dealer prices (EU)</t>
  </si>
  <si>
    <t xml:space="preserve">https://meinhartje.com/en/print/product/4028973e78507c2d017850b988af798d</t>
  </si>
  <si>
    <t xml:space="preserve">QuickEstimate – India solar battery prices 2026 (Luminous/Exide, ₹/kWh)</t>
  </si>
  <si>
    <t xml:space="preserve">https://quickestimate.co/blog/solar-battery-price-india</t>
  </si>
  <si>
    <t xml:space="preserve">S27</t>
  </si>
  <si>
    <t xml:space="preserve">Qbits Energy – India solar battery brands 2026</t>
  </si>
  <si>
    <t xml:space="preserve">https://qbitsenergy.com/blog/best-solar-battery-brands-india-2026/</t>
  </si>
  <si>
    <t xml:space="preserve">S28</t>
  </si>
  <si>
    <t xml:space="preserve">EcoFlow River 2 Pro 768 Wh deal price</t>
  </si>
  <si>
    <t xml:space="preserve">https://deals.christianpost.com/daily-deals/ef-ecoflow-river-2-pro-portable-power-station-768wh-lifepo4-now-315</t>
  </si>
  <si>
    <t xml:space="preserve">S29</t>
  </si>
  <si>
    <t xml:space="preserve">ENF – LiFePower ALW 5 kWh all-in-one factory price</t>
  </si>
  <si>
    <t xml:space="preserve">https://www.enfsolar.com/pv/storage-system-datasheet/12224</t>
  </si>
  <si>
    <t xml:space="preserve">DCNT Global – India C&amp;I BESS buyer's guide 2026</t>
  </si>
  <si>
    <t xml:space="preserve">https://www.dcntglobal.com/?p=5380</t>
  </si>
  <si>
    <t xml:space="preserve">SMM – energy storage prices (C&amp;I ESS USD/Wh)</t>
  </si>
  <si>
    <t xml:space="preserve">https://www.metal.com/en/markets/38</t>
  </si>
  <si>
    <t xml:space="preserve">BNEF China storage price survey (via analyst post)</t>
  </si>
  <si>
    <t xml:space="preserve">https://cn.linkedin.com/in/sonnyzxn</t>
  </si>
  <si>
    <t xml:space="preserve">ESS News – China 314 Ah cell prices (Apr 2026)</t>
  </si>
  <si>
    <t xml:space="preserve">https://www.ess-news.com/2026/04/22/chinas-314-ah-storage-cell-prices-climb-more-than-20-in-six-months/</t>
  </si>
  <si>
    <t xml:space="preserve">Les Énergies Renouvelables – LFP cell prices Jul 2026</t>
  </si>
  <si>
    <t xml:space="preserve">https://www.les-energies-renouvelables.eu/article/actualites/energies/le-marche-du-lithium-se-retourne-ce-que-cela-change-vraiment-pour-votre-batterie-solaire-1657/</t>
  </si>
  <si>
    <t xml:space="preserve">TaiyangNews – Crisil India BESS outlook</t>
  </si>
  <si>
    <t xml:space="preserve">https://taiyangnews.info/storage/crisil-projects-india-add-50-gwh-bess-fy2028</t>
  </si>
  <si>
    <t xml:space="preserve">Business Today – IESA President column (Jun 2026)</t>
  </si>
  <si>
    <t xml:space="preserve">https://www.businesstoday.in/magazine/columns/story/the-fairytale-of-bess-in-india-iesa-president-debamalya-sen-537516-2026-06-17</t>
  </si>
  <si>
    <t xml:space="preserve">Energetica India – Kerala &amp; TN BESS tenders (Feb 2026)</t>
  </si>
  <si>
    <t xml:space="preserve">https://www.energetica-india.net/news/tngecl-and-nvvn-kerala-bess-tenders-close-at-lower-than-expected-tariffs</t>
  </si>
  <si>
    <t xml:space="preserve">pv magazine – Rajasthan record-low 4-h BESS tariff</t>
  </si>
  <si>
    <t xml:space="preserve">https://www.pv-magazine.com/?p=66084</t>
  </si>
  <si>
    <t xml:space="preserve">REGlobal – India storage pipeline Feb–May 2026</t>
  </si>
  <si>
    <t xml:space="preserve">https://reglobal.org/growing-pipeline-indias-battery-storage-market-moves-towards-larger-scale-deployment/</t>
  </si>
  <si>
    <t xml:space="preserve">S40</t>
  </si>
  <si>
    <t xml:space="preserve">banklive.net – USD/INR &amp; JPY/INR (10 Oct 2026)</t>
  </si>
  <si>
    <t xml:space="preserve">https://banklive.net/en/convert/usd-to-inr</t>
  </si>
  <si>
    <t xml:space="preserve">China Q1 2026 EPC bid prices (analyst post citing BNEF)</t>
  </si>
  <si>
    <t xml:space="preserve">https://nl.linkedin.com/in/s7sara</t>
  </si>
  <si>
    <t xml:space="preserve">ELIIY Power &amp; Suzuki investment / alliance (Nov 2023)</t>
  </si>
  <si>
    <t xml:space="preserve">https://www.eliiypower.co.jp/english/pressrelease-en/20231114_e</t>
  </si>
  <si>
    <t xml:space="preserve">How the Prices Were Obtained</t>
  </si>
  <si>
    <t xml:space="preserve">Column</t>
  </si>
  <si>
    <t xml:space="preserve">Method</t>
  </si>
  <si>
    <t xml:space="preserve">Confidence</t>
  </si>
  <si>
    <t xml:space="preserve">ELIIY prices</t>
  </si>
  <si>
    <t xml:space="preserve">Only two public price points exist. POWER YIILE 3: retail listing on BicCamera.com (¥1,097,800 incl. tax). HY93-C / HY110: Japanese launch list prices reported by MONOist, 2019 (¥37,790 / ¥44,460 ex-tax). All other ELIIY products are sold on quotation only.</t>
  </si>
  <si>
    <t xml:space="preserve">High (list)</t>
  </si>
  <si>
    <t xml:space="preserve">Indian OEM – starters</t>
  </si>
  <si>
    <t xml:space="preserve">Exide Bikerz VRLA dealer prices on IndiaMART (₹1,386–2,045). Used because Indian 2W OEMs still factory-fit lead-acid; no Indian Li-ion OEM starter rate is published.</t>
  </si>
  <si>
    <t xml:space="preserve">Medium</t>
  </si>
  <si>
    <t xml:space="preserve">Indian OEM – home ESS</t>
  </si>
  <si>
    <t xml:space="preserve">Published 2026 price ranges for Luminous / Exide 5 and 10 kWh LFP (QuickEstimate) and Livguard / LOOM 2.4 kWh modules (Qbits Energy). These are distributor/retail ranges, not OEM contract rates.</t>
  </si>
  <si>
    <t xml:space="preserve">Indian OEM – C&amp;I and cells</t>
  </si>
  <si>
    <t xml:space="preserve">C&amp;I: ₹2.8–3.2 cr per MWh turnkey (DCNT Global 2026 buyer's guide). Cells: landed battery prices from IESA ($55–60/kWh) and Crisil ($70–75/kWh).</t>
  </si>
  <si>
    <t xml:space="preserve">Chinese OEM – home ESS</t>
  </si>
  <si>
    <t xml:space="preserve">Factory price list on ENF Solar for a 5.12 kWh all-in-one unit: €741 (100–199 pcs), €723 (200+ pcs).</t>
  </si>
  <si>
    <t xml:space="preserve">Chinese OEM – C&amp;I and cells</t>
  </si>
  <si>
    <t xml:space="preserve">SMM price index ($0.07–0.09/Wh C&amp;I systems), BNEF survey ($77/kWh), InfoLink and ECOinfos cell indices (CNY 0.360–0.443/Wh).</t>
  </si>
  <si>
    <t xml:space="preserve">High (index)</t>
  </si>
  <si>
    <t xml:space="preserve">Chinese OEM – starters &amp; portable</t>
  </si>
  <si>
    <t xml:space="preserve">ESTIMATES (yellow). No public factory price found. Based on EU dealer prices for Chinese-made Skyrich LiFePO4 starters (€45–86) and EcoFlow retail (~$0.41/Wh), discounted to typical factory FOB levels.</t>
  </si>
  <si>
    <t xml:space="preserve">Low – RFQ needed</t>
  </si>
  <si>
    <t xml:space="preserve">Mid-market FX on 10 Oct 2026 (banklive.net). Change the yellow cells on the Assumptions tab to re-price everything.</t>
  </si>
  <si>
    <t xml:space="preserve">High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</si>
</sst>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\₹#,##0"/>
    <numFmt numFmtId="167" formatCode="0.0\x"/>
    <numFmt numFmtId="168" formatCode="0.0000"/>
    <numFmt numFmtId="169" formatCode="#,##0.0000"/>
    <numFmt numFmtId="170" formatCode="#,##0.000"/>
    <numFmt numFmtId="171" formatCode="#,##0"/>
    <numFmt numFmtId="172" formatCode="#,##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Storage price ₹/kWh – Indian vs Chinese OEM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'Price Comparison'!C22</c:f>
              <c:strCache>
                <c:ptCount val="1"/>
                <c:pt idx="0">
                  <c:v>India ₹/kWh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'Price Comparison'!$B$23:$B$27</c:f>
              <c:strCache>
                <c:ptCount val="5"/>
                <c:pt idx="0">
                  <c:v>Portable ~2.5 kWh</c:v>
                </c:pt>
                <c:pt idx="1">
                  <c:v>Home 5 kWh</c:v>
                </c:pt>
                <c:pt idx="2">
                  <c:v>Home 10 kWh</c:v>
                </c:pt>
                <c:pt idx="3">
                  <c:v>C&amp;I turnkey</c:v>
                </c:pt>
                <c:pt idx="4">
                  <c:v>LFP cells</c:v>
                </c:pt>
              </c:strCache>
            </c:strRef>
          </c:cat>
          <c:val>
            <c:numRef>
              <c:f>'Price Comparison'!$C$23:$C$27</c:f>
              <c:numCache>
                <c:formatCode>\₹#,##0</c:formatCode>
                <c:ptCount val="5"/>
                <c:pt idx="0">
                  <c:v>21000</c:v>
                </c:pt>
                <c:pt idx="1">
                  <c:v>23611.1111111111</c:v>
                </c:pt>
                <c:pt idx="2">
                  <c:v>22685.1851851852</c:v>
                </c:pt>
                <c:pt idx="3">
                  <c:v>30000</c:v>
                </c:pt>
                <c:pt idx="4">
                  <c:v>6290.7</c:v>
                </c:pt>
              </c:numCache>
            </c:numRef>
          </c:val>
        </c:ser>
        <c:ser>
          <c:idx val="1"/>
          <c:order val="1"/>
          <c:tx>
            <c:strRef>
              <c:f>'Price Comparison'!D22</c:f>
              <c:strCache>
                <c:ptCount val="1"/>
                <c:pt idx="0">
                  <c:v>China ₹/kWh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'Price Comparison'!$B$23:$B$27</c:f>
              <c:strCache>
                <c:ptCount val="5"/>
                <c:pt idx="0">
                  <c:v>Portable ~2.5 kWh</c:v>
                </c:pt>
                <c:pt idx="1">
                  <c:v>Home 5 kWh</c:v>
                </c:pt>
                <c:pt idx="2">
                  <c:v>Home 10 kWh</c:v>
                </c:pt>
                <c:pt idx="3">
                  <c:v>C&amp;I turnkey</c:v>
                </c:pt>
                <c:pt idx="4">
                  <c:v>LFP cells</c:v>
                </c:pt>
              </c:strCache>
            </c:strRef>
          </c:cat>
          <c:val>
            <c:numRef>
              <c:f>'Price Comparison'!$D$23:$D$27</c:f>
              <c:numCache>
                <c:formatCode>\₹#,##0</c:formatCode>
                <c:ptCount val="5"/>
                <c:pt idx="0">
                  <c:v>19356</c:v>
                </c:pt>
                <c:pt idx="1">
                  <c:v>14299.7826666667</c:v>
                </c:pt>
                <c:pt idx="2">
                  <c:v>14299.7826666667</c:v>
                </c:pt>
                <c:pt idx="3">
                  <c:v>7742.4</c:v>
                </c:pt>
                <c:pt idx="4">
                  <c:v>5442.18067226891</c:v>
                </c:pt>
              </c:numCache>
            </c:numRef>
          </c:val>
        </c:ser>
        <c:gapWidth val="150"/>
        <c:overlap val="0"/>
        <c:axId val="56606757"/>
        <c:axId val="17746005"/>
      </c:barChart>
      <c:catAx>
        <c:axId val="566067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746005"/>
        <c:crosses val="autoZero"/>
        <c:auto val="1"/>
        <c:lblAlgn val="ctr"/>
        <c:lblOffset val="100"/>
        <c:noMultiLvlLbl val="0"/>
      </c:catAx>
      <c:valAx>
        <c:axId val="1774600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per 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067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12</xdr:row>
      <xdr:rowOff>168480</xdr:rowOff>
    </xdr:from>
    <xdr:to>
      <xdr:col>10</xdr:col>
      <xdr:colOff>629280</xdr:colOff>
      <xdr:row>29</xdr:row>
      <xdr:rowOff>169560</xdr:rowOff>
    </xdr:to>
    <xdr:graphicFrame>
      <xdr:nvGraphicFramePr>
        <xdr:cNvPr id="0" name="Chart 1"/>
        <xdr:cNvGraphicFramePr/>
      </xdr:nvGraphicFramePr>
      <xdr:xfrm>
        <a:off x="4299480" y="41529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1m4n9ip7tzk2j.cloudfront.net/tenants/1/item_field_asset_images/assets/000/002/114/large/0134595f-0aa3-4f1c-bee5-bf7e78b01460.jpg" TargetMode="External"/><Relationship Id="rId2" Type="http://schemas.openxmlformats.org/officeDocument/2006/relationships/hyperlink" Target="https://www.eliiypower.co.jp/english/products-en/motorcycle-en/hybattery-p-en" TargetMode="External"/><Relationship Id="rId3" Type="http://schemas.openxmlformats.org/officeDocument/2006/relationships/hyperlink" Target="https://d1m4n9ip7tzk2j.cloudfront.net/tenants/1/additional_values/value_images/000/034/269/large/aba91e91-d5e3-4178-abee-f0d16db39cfd.jpg" TargetMode="External"/><Relationship Id="rId4" Type="http://schemas.openxmlformats.org/officeDocument/2006/relationships/hyperlink" Target="https://www.eliiypower.co.jp/english/products-en/motorcycle-en/hybattery-p-en" TargetMode="External"/><Relationship Id="rId5" Type="http://schemas.openxmlformats.org/officeDocument/2006/relationships/hyperlink" Target="https://d1m4n9ip7tzk2j.cloudfront.net/tenants/1/additional_values/value_images/000/032/547/large/ae3b31ec-3ad7-4f01-9fd4-3df615c4fe42.jpg" TargetMode="External"/><Relationship Id="rId6" Type="http://schemas.openxmlformats.org/officeDocument/2006/relationships/hyperlink" Target="https://www.eliiypower.co.jp/english/products-en/motorcycle-en/hybattery-p2-en" TargetMode="External"/><Relationship Id="rId7" Type="http://schemas.openxmlformats.org/officeDocument/2006/relationships/hyperlink" Target="https://d1m4n9ip7tzk2j.cloudfront.net/tenants/1/item_field_asset_images/assets/000/002/119/large/2cd285d1-9543-42f8-a836-78f3090f1bba.jpg" TargetMode="External"/><Relationship Id="rId8" Type="http://schemas.openxmlformats.org/officeDocument/2006/relationships/hyperlink" Target="https://www.eliiypower.co.jp/english/products-en/motorcycle-en/hybattery-p-en" TargetMode="External"/><Relationship Id="rId9" Type="http://schemas.openxmlformats.org/officeDocument/2006/relationships/hyperlink" Target="https://d1m4n9ip7tzk2j.cloudfront.net/tenants/1/additional_values/value_images/000/017/956/large/40a8f966-4120-45f3-9cdd-0b6d7da634b7.jpg" TargetMode="External"/><Relationship Id="rId10" Type="http://schemas.openxmlformats.org/officeDocument/2006/relationships/hyperlink" Target="https://www.eliiypower.co.jp/english/products-en/general-en/stand-alone-en/py3-en" TargetMode="External"/><Relationship Id="rId11" Type="http://schemas.openxmlformats.org/officeDocument/2006/relationships/hyperlink" Target="https://d1m4n9ip7tzk2j.cloudfront.net/tenants/1/additional_values/value_images/000/017/878/large/1e560fde-912a-4268-a3bb-f6be98abb2e4.jpg" TargetMode="External"/><Relationship Id="rId12" Type="http://schemas.openxmlformats.org/officeDocument/2006/relationships/hyperlink" Target="https://www.eliiypower.co.jp/english/products-en/general-en/interconnection-en/pi5g-en" TargetMode="External"/><Relationship Id="rId13" Type="http://schemas.openxmlformats.org/officeDocument/2006/relationships/hyperlink" Target="https://d1m4n9ip7tzk2j.cloudfront.net/tenants/1/additional_values/value_images/000/017/984/large/cdc64889-bd4c-4259-9339-66f482c1585e.jpg" TargetMode="External"/><Relationship Id="rId14" Type="http://schemas.openxmlformats.org/officeDocument/2006/relationships/hyperlink" Target="https://www.eliiypower.co.jp/english/products-en/custom-en/270kwh-en" TargetMode="External"/><Relationship Id="rId15" Type="http://schemas.openxmlformats.org/officeDocument/2006/relationships/hyperlink" Target="https://d1m4n9ip7tzk2j.cloudfront.net/tenants/1/additional_values/value_images/000/017/930/large/4605120e-cdee-4d35-b5a1-0a40a52abc23.jpg" TargetMode="External"/><Relationship Id="rId16" Type="http://schemas.openxmlformats.org/officeDocument/2006/relationships/hyperlink" Target="https://www.eliiypower.co.jp/english/products-en/general-en/interconnection-en/ps10-en" TargetMode="External"/><Relationship Id="rId17" Type="http://schemas.openxmlformats.org/officeDocument/2006/relationships/hyperlink" Target="https://d1m4n9ip7tzk2j.cloudfront.net/tenants/1/additional_values/value_images/000/017/917/large/4972fc1e-c3ac-446f-a717-d5bbb7b25d79.jpg" TargetMode="External"/><Relationship Id="rId18" Type="http://schemas.openxmlformats.org/officeDocument/2006/relationships/hyperlink" Target="https://www.eliiypower.co.jp/english/products-en/general-en/stand-alone-en/eliiyone-en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  <c r="C4" s="3" t="s">
        <v>3</v>
      </c>
      <c r="D4" s="3" t="s">
        <v>4</v>
      </c>
    </row>
    <row r="5" customFormat="false" ht="15" hidden="false" customHeight="false" outlineLevel="0" collapsed="false">
      <c r="B5" s="4" t="s">
        <v>5</v>
      </c>
      <c r="C5" s="5" t="n">
        <v>4</v>
      </c>
      <c r="D5" s="6" t="s">
        <v>6</v>
      </c>
    </row>
    <row r="6" customFormat="false" ht="15" hidden="false" customHeight="false" outlineLevel="0" collapsed="false">
      <c r="B6" s="4" t="s">
        <v>7</v>
      </c>
      <c r="C6" s="7" t="n">
        <f aca="false">COUNTIF('Product Specs'!E5:E22,"Current*")</f>
        <v>14</v>
      </c>
      <c r="D6" s="6" t="s">
        <v>8</v>
      </c>
    </row>
    <row r="7" customFormat="false" ht="15" hidden="false" customHeight="false" outlineLevel="0" collapsed="false">
      <c r="B7" s="4" t="s">
        <v>9</v>
      </c>
      <c r="C7" s="8" t="n">
        <f aca="false">'Price Comparison'!H7</f>
        <v>670097.12</v>
      </c>
      <c r="D7" s="6" t="s">
        <v>10</v>
      </c>
    </row>
    <row r="8" customFormat="false" ht="15" hidden="false" customHeight="false" outlineLevel="0" collapsed="false">
      <c r="B8" s="4" t="s">
        <v>11</v>
      </c>
      <c r="C8" s="8" t="n">
        <f aca="false">'Price Comparison'!I7</f>
        <v>268038.848</v>
      </c>
      <c r="D8" s="6" t="s">
        <v>12</v>
      </c>
    </row>
    <row r="9" customFormat="false" ht="15" hidden="false" customHeight="false" outlineLevel="0" collapsed="false">
      <c r="B9" s="4" t="s">
        <v>13</v>
      </c>
      <c r="C9" s="8" t="n">
        <f aca="false">'Price Comparison'!V7</f>
        <v>19356</v>
      </c>
      <c r="D9" s="6" t="s">
        <v>14</v>
      </c>
    </row>
    <row r="10" customFormat="false" ht="15" hidden="false" customHeight="false" outlineLevel="0" collapsed="false">
      <c r="B10" s="4" t="s">
        <v>15</v>
      </c>
      <c r="C10" s="9" t="n">
        <f aca="false">'Price Comparison'!X7</f>
        <v>13.8478429427568</v>
      </c>
      <c r="D10" s="6" t="s">
        <v>16</v>
      </c>
    </row>
    <row r="11" customFormat="false" ht="15" hidden="false" customHeight="false" outlineLevel="0" collapsed="false">
      <c r="B11" s="4" t="s">
        <v>17</v>
      </c>
      <c r="C11" s="8" t="n">
        <f aca="false">'Price Comparison'!O9</f>
        <v>23611.1111111111</v>
      </c>
      <c r="D11" s="6" t="s">
        <v>18</v>
      </c>
    </row>
    <row r="12" customFormat="false" ht="15" hidden="false" customHeight="false" outlineLevel="0" collapsed="false">
      <c r="B12" s="4" t="s">
        <v>19</v>
      </c>
      <c r="C12" s="8" t="n">
        <f aca="false">'Price Comparison'!V9</f>
        <v>14299.7826666667</v>
      </c>
      <c r="D12" s="6" t="s">
        <v>20</v>
      </c>
    </row>
    <row r="13" customFormat="false" ht="15" hidden="false" customHeight="false" outlineLevel="0" collapsed="false">
      <c r="B13" s="4" t="s">
        <v>21</v>
      </c>
      <c r="C13" s="8" t="n">
        <f aca="false">'Price Comparison'!O11</f>
        <v>30000</v>
      </c>
      <c r="D13" s="6" t="s">
        <v>22</v>
      </c>
    </row>
    <row r="14" customFormat="false" ht="15" hidden="false" customHeight="false" outlineLevel="0" collapsed="false">
      <c r="B14" s="4" t="s">
        <v>23</v>
      </c>
      <c r="C14" s="8" t="n">
        <f aca="false">'Price Comparison'!V11</f>
        <v>7742.4</v>
      </c>
      <c r="D14" s="6" t="s">
        <v>24</v>
      </c>
    </row>
    <row r="15" customFormat="false" ht="15" hidden="false" customHeight="false" outlineLevel="0" collapsed="false">
      <c r="B15" s="4" t="s">
        <v>25</v>
      </c>
      <c r="C15" s="9" t="n">
        <f aca="false">'Price Comparison'!Y5</f>
        <v>14.9980598179454</v>
      </c>
      <c r="D15" s="6" t="s">
        <v>26</v>
      </c>
    </row>
    <row r="17" customFormat="false" ht="15" hidden="false" customHeight="false" outlineLevel="0" collapsed="false">
      <c r="B17" s="10" t="s">
        <v>27</v>
      </c>
    </row>
    <row r="18" customFormat="false" ht="15" hidden="false" customHeight="false" outlineLevel="0" collapsed="false">
      <c r="B18" s="11" t="s">
        <v>28</v>
      </c>
    </row>
    <row r="19" customFormat="false" ht="15" hidden="false" customHeight="false" outlineLevel="0" collapsed="false">
      <c r="B19" s="11" t="s">
        <v>29</v>
      </c>
    </row>
    <row r="20" customFormat="false" ht="15" hidden="false" customHeight="false" outlineLevel="0" collapsed="false">
      <c r="B20" s="11" t="s">
        <v>30</v>
      </c>
    </row>
    <row r="21" customFormat="false" ht="15" hidden="false" customHeight="false" outlineLevel="0" collapsed="false">
      <c r="B21" s="11" t="s">
        <v>31</v>
      </c>
    </row>
    <row r="22" customFormat="false" ht="15" hidden="false" customHeight="false" outlineLevel="0" collapsed="false">
      <c r="B22" s="11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42" hidden="false" customHeight="true" outlineLevel="0" collapsed="false">
      <c r="A4" s="12" t="s">
        <v>35</v>
      </c>
      <c r="B4" s="12" t="s">
        <v>3</v>
      </c>
      <c r="C4" s="12" t="s">
        <v>36</v>
      </c>
      <c r="D4" s="12" t="s">
        <v>37</v>
      </c>
    </row>
    <row r="5" customFormat="false" ht="15" hidden="false" customHeight="false" outlineLevel="0" collapsed="false">
      <c r="A5" s="6" t="s">
        <v>38</v>
      </c>
      <c r="B5" s="13" t="n">
        <v>96.78</v>
      </c>
      <c r="C5" s="6" t="s">
        <v>39</v>
      </c>
      <c r="D5" s="6" t="s">
        <v>40</v>
      </c>
    </row>
    <row r="6" customFormat="false" ht="15" hidden="false" customHeight="false" outlineLevel="0" collapsed="false">
      <c r="A6" s="6" t="s">
        <v>41</v>
      </c>
      <c r="B6" s="13" t="n">
        <v>0.6104</v>
      </c>
      <c r="C6" s="6" t="s">
        <v>42</v>
      </c>
      <c r="D6" s="6" t="s">
        <v>40</v>
      </c>
    </row>
    <row r="7" customFormat="false" ht="15" hidden="false" customHeight="false" outlineLevel="0" collapsed="false">
      <c r="A7" s="6" t="s">
        <v>43</v>
      </c>
      <c r="B7" s="13" t="n">
        <v>7.14</v>
      </c>
      <c r="C7" s="6" t="s">
        <v>44</v>
      </c>
      <c r="D7" s="6" t="s">
        <v>45</v>
      </c>
    </row>
    <row r="8" customFormat="false" ht="15" hidden="false" customHeight="false" outlineLevel="0" collapsed="false">
      <c r="A8" s="6" t="s">
        <v>46</v>
      </c>
      <c r="B8" s="13" t="n">
        <v>1.09</v>
      </c>
      <c r="C8" s="6" t="s">
        <v>47</v>
      </c>
      <c r="D8" s="14" t="s">
        <v>48</v>
      </c>
    </row>
    <row r="10" customFormat="false" ht="15" hidden="false" customHeight="false" outlineLevel="0" collapsed="false">
      <c r="A10" s="15" t="s">
        <v>49</v>
      </c>
    </row>
    <row r="11" customFormat="false" ht="42" hidden="false" customHeight="true" outlineLevel="0" collapsed="false">
      <c r="A11" s="12" t="s">
        <v>50</v>
      </c>
      <c r="B11" s="12" t="s">
        <v>51</v>
      </c>
      <c r="C11" s="12"/>
      <c r="D11" s="12"/>
    </row>
    <row r="12" customFormat="false" ht="15" hidden="false" customHeight="false" outlineLevel="0" collapsed="false">
      <c r="A12" s="6" t="s">
        <v>52</v>
      </c>
      <c r="B12" s="16" t="n">
        <f aca="false">1</f>
        <v>1</v>
      </c>
    </row>
    <row r="13" customFormat="false" ht="15" hidden="false" customHeight="false" outlineLevel="0" collapsed="false">
      <c r="A13" s="6" t="s">
        <v>53</v>
      </c>
      <c r="B13" s="16" t="n">
        <f aca="false">B5</f>
        <v>96.78</v>
      </c>
    </row>
    <row r="14" customFormat="false" ht="15" hidden="false" customHeight="false" outlineLevel="0" collapsed="false">
      <c r="A14" s="6" t="s">
        <v>54</v>
      </c>
      <c r="B14" s="16" t="n">
        <f aca="false">B6</f>
        <v>0.6104</v>
      </c>
    </row>
    <row r="15" customFormat="false" ht="15" hidden="false" customHeight="false" outlineLevel="0" collapsed="false">
      <c r="A15" s="6" t="s">
        <v>55</v>
      </c>
      <c r="B15" s="16" t="n">
        <f aca="false">B5/B7</f>
        <v>13.5546218487395</v>
      </c>
    </row>
    <row r="16" customFormat="false" ht="15" hidden="false" customHeight="false" outlineLevel="0" collapsed="false">
      <c r="A16" s="6" t="s">
        <v>56</v>
      </c>
      <c r="B16" s="16" t="n">
        <f aca="false">B8*B5</f>
        <v>105.4902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5" min="4" style="0" width="30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4" customFormat="false" ht="42" hidden="false" customHeight="true" outlineLevel="0" collapsed="false">
      <c r="A4" s="12" t="s">
        <v>59</v>
      </c>
      <c r="B4" s="12" t="s">
        <v>60</v>
      </c>
      <c r="C4" s="12" t="s">
        <v>61</v>
      </c>
      <c r="D4" s="12" t="s">
        <v>62</v>
      </c>
      <c r="E4" s="12" t="s">
        <v>63</v>
      </c>
    </row>
    <row r="5" customFormat="false" ht="150" hidden="false" customHeight="true" outlineLevel="0" collapsed="false">
      <c r="A5" s="4" t="s">
        <v>64</v>
      </c>
      <c r="B5" s="17" t="str">
        <f aca="false">IFERROR(_xlfn.IMAGE("https://d1m4n9ip7tzk2j.cloudfront.net/tenants/1/item_field_asset_images/assets/000/002/114/large/0134595f-0aa3-4f1c-bee5-bf7e78b01460.jpg","HY battEliiy P-series (HY85S / HY93-C / HY110)",0),"Photo loads in Excel 365 – use link →")</f>
        <v>Photo loads in Excel 365 – use link →</v>
      </c>
      <c r="C5" s="6" t="s">
        <v>65</v>
      </c>
      <c r="D5" s="18" t="s">
        <v>66</v>
      </c>
      <c r="E5" s="18" t="s">
        <v>63</v>
      </c>
    </row>
    <row r="6" customFormat="false" ht="150" hidden="false" customHeight="true" outlineLevel="0" collapsed="false">
      <c r="A6" s="4" t="s">
        <v>67</v>
      </c>
      <c r="B6" s="17" t="str">
        <f aca="false">IFERROR(_xlfn.IMAGE("https://d1m4n9ip7tzk2j.cloudfront.net/tenants/1/additional_values/value_images/000/034/269/large/aba91e91-d5e3-4178-abee-f0d16db39cfd.jpg","HY battEliiy P-series (lineup banner)",0),"Photo loads in Excel 365 – use link →")</f>
        <v>Photo loads in Excel 365 – use link →</v>
      </c>
      <c r="C6" s="6" t="s">
        <v>65</v>
      </c>
      <c r="D6" s="18" t="s">
        <v>66</v>
      </c>
      <c r="E6" s="18" t="s">
        <v>63</v>
      </c>
    </row>
    <row r="7" customFormat="false" ht="150" hidden="false" customHeight="true" outlineLevel="0" collapsed="false">
      <c r="A7" s="4" t="s">
        <v>68</v>
      </c>
      <c r="B7" s="17" t="str">
        <f aca="false">IFERROR(_xlfn.IMAGE("https://d1m4n9ip7tzk2j.cloudfront.net/tenants/1/additional_values/value_images/000/032/547/large/ae3b31ec-3ad7-4f01-9fd4-3df615c4fe42.jpg","HY93SS / HY110SS (Suzuki)",0),"Photo loads in Excel 365 – use link →")</f>
        <v>Photo loads in Excel 365 – use link →</v>
      </c>
      <c r="C7" s="6" t="s">
        <v>65</v>
      </c>
      <c r="D7" s="18" t="s">
        <v>66</v>
      </c>
      <c r="E7" s="18" t="s">
        <v>63</v>
      </c>
    </row>
    <row r="8" customFormat="false" ht="150" hidden="false" customHeight="true" outlineLevel="0" collapsed="false">
      <c r="A8" s="4" t="s">
        <v>69</v>
      </c>
      <c r="B8" s="17" t="str">
        <f aca="false">IFERROR(_xlfn.IMAGE("https://d1m4n9ip7tzk2j.cloudfront.net/tenants/1/item_field_asset_images/assets/000/002/119/large/2cd285d1-9543-42f8-a836-78f3090f1bba.jpg","Charger C-1401B",0),"Photo loads in Excel 365 – use link →")</f>
        <v>Photo loads in Excel 365 – use link →</v>
      </c>
      <c r="C8" s="6" t="s">
        <v>70</v>
      </c>
      <c r="D8" s="18" t="s">
        <v>66</v>
      </c>
      <c r="E8" s="18" t="s">
        <v>63</v>
      </c>
    </row>
    <row r="9" customFormat="false" ht="150" hidden="false" customHeight="true" outlineLevel="0" collapsed="false">
      <c r="A9" s="4" t="s">
        <v>71</v>
      </c>
      <c r="B9" s="17" t="str">
        <f aca="false">IFERROR(_xlfn.IMAGE("https://d1m4n9ip7tzk2j.cloudfront.net/tenants/1/additional_values/value_images/000/017/956/large/40a8f966-4120-45f3-9cdd-0b6d7da634b7.jpg","POWER YIILE 3",0),"Photo loads in Excel 365 – use link →")</f>
        <v>Photo loads in Excel 365 – use link →</v>
      </c>
      <c r="C9" s="6" t="s">
        <v>72</v>
      </c>
      <c r="D9" s="18" t="s">
        <v>66</v>
      </c>
      <c r="E9" s="18" t="s">
        <v>63</v>
      </c>
    </row>
    <row r="10" customFormat="false" ht="150" hidden="false" customHeight="true" outlineLevel="0" collapsed="false">
      <c r="A10" s="4" t="s">
        <v>73</v>
      </c>
      <c r="B10" s="17" t="str">
        <f aca="false">IFERROR(_xlfn.IMAGE("https://d1m4n9ip7tzk2j.cloudfront.net/tenants/1/additional_values/value_images/000/017/878/large/1e560fde-912a-4268-a3bb-f6be98abb2e4.jpg","POWER iE5 GRID",0),"Photo loads in Excel 365 – use link →")</f>
        <v>Photo loads in Excel 365 – use link →</v>
      </c>
      <c r="C10" s="6" t="s">
        <v>74</v>
      </c>
      <c r="D10" s="18" t="s">
        <v>66</v>
      </c>
      <c r="E10" s="18" t="s">
        <v>63</v>
      </c>
    </row>
    <row r="11" customFormat="false" ht="150" hidden="false" customHeight="true" outlineLevel="0" collapsed="false">
      <c r="A11" s="4" t="s">
        <v>75</v>
      </c>
      <c r="B11" s="17" t="str">
        <f aca="false">IFERROR(_xlfn.IMAGE("https://d1m4n9ip7tzk2j.cloudfront.net/tenants/1/additional_values/value_images/000/017/984/large/cdc64889-bd4c-4259-9339-66f482c1585e.jpg","270 kWh custom system",0),"Photo loads in Excel 365 – use link →")</f>
        <v>Photo loads in Excel 365 – use link →</v>
      </c>
      <c r="C11" s="6" t="s">
        <v>76</v>
      </c>
      <c r="D11" s="18" t="s">
        <v>66</v>
      </c>
      <c r="E11" s="18" t="s">
        <v>63</v>
      </c>
    </row>
    <row r="12" customFormat="false" ht="150" hidden="false" customHeight="true" outlineLevel="0" collapsed="false">
      <c r="A12" s="4" t="s">
        <v>77</v>
      </c>
      <c r="B12" s="17" t="str">
        <f aca="false">IFERROR(_xlfn.IMAGE("https://d1m4n9ip7tzk2j.cloudfront.net/tenants/1/additional_values/value_images/000/017/930/large/4605120e-cdee-4d35-b5a1-0a40a52abc23.jpg","Power Storager 10 (end-of-life)",0),"Photo loads in Excel 365 – use link →")</f>
        <v>Photo loads in Excel 365 – use link →</v>
      </c>
      <c r="C12" s="6" t="s">
        <v>78</v>
      </c>
      <c r="D12" s="18" t="s">
        <v>66</v>
      </c>
      <c r="E12" s="18" t="s">
        <v>63</v>
      </c>
    </row>
    <row r="13" customFormat="false" ht="150" hidden="false" customHeight="true" outlineLevel="0" collapsed="false">
      <c r="A13" s="4" t="s">
        <v>79</v>
      </c>
      <c r="B13" s="17" t="str">
        <f aca="false">IFERROR(_xlfn.IMAGE("https://d1m4n9ip7tzk2j.cloudfront.net/tenants/1/additional_values/value_images/000/017/917/large/4972fc1e-c3ac-446f-a717-d5bbb7b25d79.jpg","ELIIY ONE (end-of-life)",0),"Photo loads in Excel 365 – use link →")</f>
        <v>Photo loads in Excel 365 – use link →</v>
      </c>
      <c r="C13" s="6" t="s">
        <v>80</v>
      </c>
      <c r="D13" s="18" t="s">
        <v>66</v>
      </c>
      <c r="E13" s="18" t="s">
        <v>63</v>
      </c>
    </row>
    <row r="15" customFormat="false" ht="15" hidden="false" customHeight="false" outlineLevel="0" collapsed="false">
      <c r="A15" s="19" t="s">
        <v>81</v>
      </c>
    </row>
  </sheetData>
  <hyperlinks>
    <hyperlink ref="D5" r:id="rId1" display="View photo"/>
    <hyperlink ref="E5" r:id="rId2" display="Product page"/>
    <hyperlink ref="D6" r:id="rId3" display="View photo"/>
    <hyperlink ref="E6" r:id="rId4" display="Product page"/>
    <hyperlink ref="D7" r:id="rId5" display="View photo"/>
    <hyperlink ref="E7" r:id="rId6" display="Product page"/>
    <hyperlink ref="D8" r:id="rId7" display="View photo"/>
    <hyperlink ref="E8" r:id="rId8" display="Product page"/>
    <hyperlink ref="D9" r:id="rId9" display="View photo"/>
    <hyperlink ref="E9" r:id="rId10" display="Product page"/>
    <hyperlink ref="D10" r:id="rId11" display="View photo"/>
    <hyperlink ref="E10" r:id="rId12" display="Product page"/>
    <hyperlink ref="D11" r:id="rId13" display="View photo"/>
    <hyperlink ref="E11" r:id="rId14" display="Product page"/>
    <hyperlink ref="D12" r:id="rId15" display="View photo"/>
    <hyperlink ref="E12" r:id="rId16" display="Product page"/>
    <hyperlink ref="D13" r:id="rId17" display="View photo"/>
    <hyperlink ref="E13" r:id="rId18" display="Product pag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2" min="11" style="0" width="14"/>
    <col collapsed="false" customWidth="true" hidden="false" outlineLevel="0" max="13" min="13" style="0" width="18"/>
    <col collapsed="false" customWidth="true" hidden="false" outlineLevel="0" max="14" min="14" style="0" width="10"/>
    <col collapsed="false" customWidth="true" hidden="false" outlineLevel="0" max="15" min="15" style="0" width="13"/>
    <col collapsed="false" customWidth="true" hidden="false" outlineLevel="0" max="16" min="16" style="0" width="22"/>
    <col collapsed="false" customWidth="true" hidden="false" outlineLevel="0" max="17" min="17" style="0" width="40"/>
    <col collapsed="false" customWidth="true" hidden="false" outlineLevel="0" max="18" min="18" style="0" width="9"/>
  </cols>
  <sheetData>
    <row r="1" customFormat="false" ht="17.35" hidden="false" customHeight="false" outlineLevel="0" collapsed="false">
      <c r="A1" s="1" t="s">
        <v>82</v>
      </c>
    </row>
    <row r="2" customFormat="false" ht="15" hidden="false" customHeight="false" outlineLevel="0" collapsed="false">
      <c r="A2" s="2" t="s">
        <v>83</v>
      </c>
    </row>
    <row r="4" customFormat="false" ht="42" hidden="false" customHeight="true" outlineLevel="0" collapsed="false">
      <c r="A4" s="12" t="s">
        <v>84</v>
      </c>
      <c r="B4" s="12" t="s">
        <v>59</v>
      </c>
      <c r="C4" s="12" t="s">
        <v>85</v>
      </c>
      <c r="D4" s="12" t="s">
        <v>61</v>
      </c>
      <c r="E4" s="12" t="s">
        <v>86</v>
      </c>
      <c r="F4" s="12" t="s">
        <v>87</v>
      </c>
      <c r="G4" s="12" t="s">
        <v>88</v>
      </c>
      <c r="H4" s="12" t="s">
        <v>89</v>
      </c>
      <c r="I4" s="12" t="s">
        <v>90</v>
      </c>
      <c r="J4" s="12" t="s">
        <v>91</v>
      </c>
      <c r="K4" s="12" t="s">
        <v>92</v>
      </c>
      <c r="L4" s="12" t="s">
        <v>93</v>
      </c>
      <c r="M4" s="12" t="s">
        <v>94</v>
      </c>
      <c r="N4" s="12" t="s">
        <v>95</v>
      </c>
      <c r="O4" s="12" t="s">
        <v>96</v>
      </c>
      <c r="P4" s="12" t="s">
        <v>97</v>
      </c>
      <c r="Q4" s="12" t="s">
        <v>98</v>
      </c>
      <c r="R4" s="12" t="s">
        <v>99</v>
      </c>
    </row>
    <row r="5" customFormat="false" ht="35.05" hidden="false" customHeight="false" outlineLevel="0" collapsed="false">
      <c r="A5" s="6" t="n">
        <v>1</v>
      </c>
      <c r="B5" s="6" t="s">
        <v>100</v>
      </c>
      <c r="C5" s="6" t="s">
        <v>101</v>
      </c>
      <c r="D5" s="6" t="s">
        <v>102</v>
      </c>
      <c r="E5" s="6" t="s">
        <v>103</v>
      </c>
      <c r="F5" s="6" t="s">
        <v>104</v>
      </c>
      <c r="G5" s="6" t="s">
        <v>105</v>
      </c>
      <c r="H5" s="6" t="s">
        <v>106</v>
      </c>
      <c r="I5" s="6" t="s">
        <v>107</v>
      </c>
      <c r="J5" s="6" t="s">
        <v>108</v>
      </c>
      <c r="K5" s="6" t="s">
        <v>108</v>
      </c>
      <c r="L5" s="6" t="s">
        <v>108</v>
      </c>
      <c r="M5" s="6" t="s">
        <v>108</v>
      </c>
      <c r="N5" s="6" t="s">
        <v>108</v>
      </c>
      <c r="O5" s="6" t="s">
        <v>109</v>
      </c>
      <c r="P5" s="6" t="s">
        <v>110</v>
      </c>
      <c r="Q5" s="6" t="s">
        <v>111</v>
      </c>
      <c r="R5" s="6" t="s">
        <v>112</v>
      </c>
    </row>
    <row r="6" customFormat="false" ht="23.85" hidden="false" customHeight="false" outlineLevel="0" collapsed="false">
      <c r="A6" s="6" t="n">
        <v>2</v>
      </c>
      <c r="B6" s="6" t="s">
        <v>113</v>
      </c>
      <c r="C6" s="6" t="s">
        <v>114</v>
      </c>
      <c r="D6" s="6" t="s">
        <v>65</v>
      </c>
      <c r="E6" s="6" t="s">
        <v>103</v>
      </c>
      <c r="F6" s="6" t="s">
        <v>115</v>
      </c>
      <c r="G6" s="6" t="s">
        <v>108</v>
      </c>
      <c r="H6" s="6" t="s">
        <v>116</v>
      </c>
      <c r="I6" s="6" t="s">
        <v>108</v>
      </c>
      <c r="J6" s="6" t="s">
        <v>117</v>
      </c>
      <c r="K6" s="6" t="s">
        <v>108</v>
      </c>
      <c r="L6" s="6" t="s">
        <v>108</v>
      </c>
      <c r="M6" s="6" t="s">
        <v>118</v>
      </c>
      <c r="N6" s="6" t="s">
        <v>119</v>
      </c>
      <c r="O6" s="6" t="s">
        <v>120</v>
      </c>
      <c r="P6" s="6" t="s">
        <v>121</v>
      </c>
      <c r="Q6" s="6" t="s">
        <v>122</v>
      </c>
      <c r="R6" s="6" t="s">
        <v>123</v>
      </c>
    </row>
    <row r="7" customFormat="false" ht="15" hidden="false" customHeight="false" outlineLevel="0" collapsed="false">
      <c r="A7" s="6" t="n">
        <v>3</v>
      </c>
      <c r="B7" s="6" t="s">
        <v>113</v>
      </c>
      <c r="C7" s="6" t="s">
        <v>124</v>
      </c>
      <c r="D7" s="6" t="s">
        <v>65</v>
      </c>
      <c r="E7" s="6" t="s">
        <v>103</v>
      </c>
      <c r="F7" s="6" t="s">
        <v>125</v>
      </c>
      <c r="G7" s="6" t="s">
        <v>108</v>
      </c>
      <c r="H7" s="6" t="s">
        <v>116</v>
      </c>
      <c r="I7" s="6" t="s">
        <v>108</v>
      </c>
      <c r="J7" s="6" t="s">
        <v>126</v>
      </c>
      <c r="K7" s="6" t="s">
        <v>108</v>
      </c>
      <c r="L7" s="6" t="s">
        <v>108</v>
      </c>
      <c r="M7" s="6" t="s">
        <v>127</v>
      </c>
      <c r="N7" s="6" t="s">
        <v>128</v>
      </c>
      <c r="O7" s="6" t="s">
        <v>120</v>
      </c>
      <c r="P7" s="6" t="s">
        <v>129</v>
      </c>
      <c r="Q7" s="6" t="s">
        <v>130</v>
      </c>
      <c r="R7" s="6" t="s">
        <v>131</v>
      </c>
    </row>
    <row r="8" customFormat="false" ht="15" hidden="false" customHeight="false" outlineLevel="0" collapsed="false">
      <c r="A8" s="6" t="n">
        <v>4</v>
      </c>
      <c r="B8" s="6" t="s">
        <v>113</v>
      </c>
      <c r="C8" s="6" t="s">
        <v>132</v>
      </c>
      <c r="D8" s="6" t="s">
        <v>65</v>
      </c>
      <c r="E8" s="6" t="s">
        <v>103</v>
      </c>
      <c r="F8" s="6" t="s">
        <v>133</v>
      </c>
      <c r="G8" s="6" t="s">
        <v>108</v>
      </c>
      <c r="H8" s="6" t="s">
        <v>116</v>
      </c>
      <c r="I8" s="6" t="s">
        <v>108</v>
      </c>
      <c r="J8" s="6" t="s">
        <v>134</v>
      </c>
      <c r="K8" s="6" t="s">
        <v>108</v>
      </c>
      <c r="L8" s="6" t="s">
        <v>108</v>
      </c>
      <c r="M8" s="6" t="s">
        <v>135</v>
      </c>
      <c r="N8" s="6" t="s">
        <v>136</v>
      </c>
      <c r="O8" s="6" t="s">
        <v>120</v>
      </c>
      <c r="P8" s="6" t="s">
        <v>129</v>
      </c>
      <c r="Q8" s="6" t="s">
        <v>137</v>
      </c>
      <c r="R8" s="6" t="s">
        <v>131</v>
      </c>
    </row>
    <row r="9" customFormat="false" ht="23.85" hidden="false" customHeight="false" outlineLevel="0" collapsed="false">
      <c r="A9" s="6" t="n">
        <v>5</v>
      </c>
      <c r="B9" s="6" t="s">
        <v>138</v>
      </c>
      <c r="C9" s="6" t="s">
        <v>139</v>
      </c>
      <c r="D9" s="6" t="s">
        <v>65</v>
      </c>
      <c r="E9" s="6" t="s">
        <v>140</v>
      </c>
      <c r="F9" s="6" t="s">
        <v>125</v>
      </c>
      <c r="G9" s="6" t="s">
        <v>108</v>
      </c>
      <c r="H9" s="6" t="s">
        <v>116</v>
      </c>
      <c r="I9" s="6" t="s">
        <v>108</v>
      </c>
      <c r="J9" s="6" t="s">
        <v>141</v>
      </c>
      <c r="K9" s="6" t="s">
        <v>108</v>
      </c>
      <c r="L9" s="6" t="s">
        <v>108</v>
      </c>
      <c r="M9" s="6" t="s">
        <v>142</v>
      </c>
      <c r="N9" s="6" t="s">
        <v>143</v>
      </c>
      <c r="O9" s="6" t="s">
        <v>120</v>
      </c>
      <c r="P9" s="6" t="s">
        <v>129</v>
      </c>
      <c r="Q9" s="6" t="s">
        <v>144</v>
      </c>
      <c r="R9" s="6" t="s">
        <v>145</v>
      </c>
    </row>
    <row r="10" customFormat="false" ht="23.85" hidden="false" customHeight="false" outlineLevel="0" collapsed="false">
      <c r="A10" s="6" t="n">
        <v>6</v>
      </c>
      <c r="B10" s="6" t="s">
        <v>138</v>
      </c>
      <c r="C10" s="6" t="s">
        <v>146</v>
      </c>
      <c r="D10" s="6" t="s">
        <v>65</v>
      </c>
      <c r="E10" s="6" t="s">
        <v>103</v>
      </c>
      <c r="F10" s="6" t="s">
        <v>133</v>
      </c>
      <c r="G10" s="6" t="s">
        <v>108</v>
      </c>
      <c r="H10" s="6" t="s">
        <v>116</v>
      </c>
      <c r="I10" s="6" t="s">
        <v>108</v>
      </c>
      <c r="J10" s="6" t="s">
        <v>147</v>
      </c>
      <c r="K10" s="6" t="s">
        <v>108</v>
      </c>
      <c r="L10" s="6" t="s">
        <v>108</v>
      </c>
      <c r="M10" s="6" t="s">
        <v>135</v>
      </c>
      <c r="N10" s="6" t="s">
        <v>148</v>
      </c>
      <c r="O10" s="6" t="s">
        <v>120</v>
      </c>
      <c r="P10" s="6" t="s">
        <v>129</v>
      </c>
      <c r="Q10" s="6" t="s">
        <v>149</v>
      </c>
      <c r="R10" s="6" t="s">
        <v>145</v>
      </c>
    </row>
    <row r="11" customFormat="false" ht="23.85" hidden="false" customHeight="false" outlineLevel="0" collapsed="false">
      <c r="A11" s="6" t="n">
        <v>7</v>
      </c>
      <c r="B11" s="6" t="s">
        <v>71</v>
      </c>
      <c r="C11" s="6" t="s">
        <v>150</v>
      </c>
      <c r="D11" s="6" t="s">
        <v>72</v>
      </c>
      <c r="E11" s="6" t="s">
        <v>103</v>
      </c>
      <c r="F11" s="6" t="s">
        <v>151</v>
      </c>
      <c r="G11" s="6" t="s">
        <v>152</v>
      </c>
      <c r="H11" s="6" t="s">
        <v>153</v>
      </c>
      <c r="I11" s="6" t="s">
        <v>154</v>
      </c>
      <c r="J11" s="6" t="s">
        <v>155</v>
      </c>
      <c r="K11" s="6" t="s">
        <v>156</v>
      </c>
      <c r="L11" s="6" t="s">
        <v>157</v>
      </c>
      <c r="M11" s="6" t="s">
        <v>158</v>
      </c>
      <c r="N11" s="6" t="s">
        <v>159</v>
      </c>
      <c r="O11" s="6" t="s">
        <v>160</v>
      </c>
      <c r="P11" s="6" t="s">
        <v>161</v>
      </c>
      <c r="Q11" s="6" t="s">
        <v>162</v>
      </c>
      <c r="R11" s="6" t="s">
        <v>163</v>
      </c>
    </row>
    <row r="12" customFormat="false" ht="23.85" hidden="false" customHeight="false" outlineLevel="0" collapsed="false">
      <c r="A12" s="6" t="n">
        <v>8</v>
      </c>
      <c r="B12" s="6" t="s">
        <v>164</v>
      </c>
      <c r="C12" s="6" t="s">
        <v>165</v>
      </c>
      <c r="D12" s="6" t="s">
        <v>166</v>
      </c>
      <c r="E12" s="6" t="s">
        <v>103</v>
      </c>
      <c r="F12" s="6" t="s">
        <v>167</v>
      </c>
      <c r="G12" s="6" t="s">
        <v>168</v>
      </c>
      <c r="H12" s="6" t="s">
        <v>169</v>
      </c>
      <c r="I12" s="6" t="s">
        <v>170</v>
      </c>
      <c r="J12" s="6" t="s">
        <v>108</v>
      </c>
      <c r="K12" s="6" t="s">
        <v>171</v>
      </c>
      <c r="L12" s="6" t="s">
        <v>172</v>
      </c>
      <c r="M12" s="6" t="s">
        <v>173</v>
      </c>
      <c r="N12" s="6" t="s">
        <v>174</v>
      </c>
      <c r="O12" s="6" t="s">
        <v>108</v>
      </c>
      <c r="P12" s="6" t="s">
        <v>108</v>
      </c>
      <c r="Q12" s="6" t="s">
        <v>175</v>
      </c>
      <c r="R12" s="6" t="s">
        <v>176</v>
      </c>
    </row>
    <row r="13" customFormat="false" ht="15" hidden="false" customHeight="false" outlineLevel="0" collapsed="false">
      <c r="A13" s="6" t="n">
        <v>9</v>
      </c>
      <c r="B13" s="6" t="s">
        <v>177</v>
      </c>
      <c r="C13" s="6" t="s">
        <v>165</v>
      </c>
      <c r="D13" s="6" t="s">
        <v>72</v>
      </c>
      <c r="E13" s="6" t="s">
        <v>103</v>
      </c>
      <c r="F13" s="6" t="s">
        <v>167</v>
      </c>
      <c r="G13" s="6" t="s">
        <v>178</v>
      </c>
      <c r="H13" s="6" t="s">
        <v>169</v>
      </c>
      <c r="I13" s="6" t="s">
        <v>170</v>
      </c>
      <c r="J13" s="6" t="s">
        <v>108</v>
      </c>
      <c r="K13" s="6" t="s">
        <v>171</v>
      </c>
      <c r="L13" s="6" t="s">
        <v>172</v>
      </c>
      <c r="M13" s="6" t="s">
        <v>179</v>
      </c>
      <c r="N13" s="6" t="s">
        <v>180</v>
      </c>
      <c r="O13" s="6" t="s">
        <v>108</v>
      </c>
      <c r="P13" s="6" t="s">
        <v>181</v>
      </c>
      <c r="Q13" s="6" t="s">
        <v>182</v>
      </c>
      <c r="R13" s="6" t="s">
        <v>183</v>
      </c>
    </row>
    <row r="14" customFormat="false" ht="35.05" hidden="false" customHeight="false" outlineLevel="0" collapsed="false">
      <c r="A14" s="6" t="n">
        <v>10</v>
      </c>
      <c r="B14" s="6" t="s">
        <v>184</v>
      </c>
      <c r="C14" s="6" t="s">
        <v>185</v>
      </c>
      <c r="D14" s="6" t="s">
        <v>186</v>
      </c>
      <c r="E14" s="6" t="s">
        <v>103</v>
      </c>
      <c r="F14" s="6" t="s">
        <v>187</v>
      </c>
      <c r="G14" s="6" t="s">
        <v>188</v>
      </c>
      <c r="H14" s="6" t="s">
        <v>189</v>
      </c>
      <c r="I14" s="6" t="s">
        <v>190</v>
      </c>
      <c r="J14" s="6" t="s">
        <v>191</v>
      </c>
      <c r="K14" s="6" t="s">
        <v>192</v>
      </c>
      <c r="L14" s="6" t="s">
        <v>193</v>
      </c>
      <c r="M14" s="6" t="s">
        <v>194</v>
      </c>
      <c r="N14" s="6" t="s">
        <v>195</v>
      </c>
      <c r="O14" s="6" t="s">
        <v>196</v>
      </c>
      <c r="P14" s="6" t="s">
        <v>197</v>
      </c>
      <c r="Q14" s="6" t="s">
        <v>198</v>
      </c>
      <c r="R14" s="6" t="s">
        <v>199</v>
      </c>
    </row>
    <row r="15" customFormat="false" ht="23.85" hidden="false" customHeight="false" outlineLevel="0" collapsed="false">
      <c r="A15" s="6" t="n">
        <v>11</v>
      </c>
      <c r="B15" s="6" t="s">
        <v>200</v>
      </c>
      <c r="C15" s="6" t="s">
        <v>201</v>
      </c>
      <c r="D15" s="6" t="s">
        <v>186</v>
      </c>
      <c r="E15" s="6" t="s">
        <v>103</v>
      </c>
      <c r="F15" s="6" t="s">
        <v>202</v>
      </c>
      <c r="G15" s="6" t="s">
        <v>203</v>
      </c>
      <c r="H15" s="6" t="s">
        <v>189</v>
      </c>
      <c r="I15" s="6" t="s">
        <v>190</v>
      </c>
      <c r="J15" s="6" t="s">
        <v>204</v>
      </c>
      <c r="K15" s="6" t="s">
        <v>205</v>
      </c>
      <c r="L15" s="6" t="s">
        <v>206</v>
      </c>
      <c r="M15" s="6" t="s">
        <v>207</v>
      </c>
      <c r="N15" s="6" t="s">
        <v>208</v>
      </c>
      <c r="O15" s="6" t="s">
        <v>209</v>
      </c>
      <c r="P15" s="6" t="s">
        <v>210</v>
      </c>
      <c r="Q15" s="6" t="s">
        <v>211</v>
      </c>
      <c r="R15" s="6" t="s">
        <v>199</v>
      </c>
    </row>
    <row r="16" customFormat="false" ht="35.05" hidden="false" customHeight="false" outlineLevel="0" collapsed="false">
      <c r="A16" s="6" t="n">
        <v>12</v>
      </c>
      <c r="B16" s="6" t="s">
        <v>212</v>
      </c>
      <c r="C16" s="6" t="s">
        <v>108</v>
      </c>
      <c r="D16" s="6" t="s">
        <v>78</v>
      </c>
      <c r="E16" s="6" t="s">
        <v>213</v>
      </c>
      <c r="F16" s="6" t="s">
        <v>214</v>
      </c>
      <c r="G16" s="6" t="s">
        <v>215</v>
      </c>
      <c r="H16" s="6" t="s">
        <v>216</v>
      </c>
      <c r="I16" s="6" t="s">
        <v>217</v>
      </c>
      <c r="J16" s="6" t="s">
        <v>218</v>
      </c>
      <c r="K16" s="6" t="s">
        <v>108</v>
      </c>
      <c r="L16" s="6" t="s">
        <v>108</v>
      </c>
      <c r="M16" s="6" t="s">
        <v>219</v>
      </c>
      <c r="N16" s="6" t="s">
        <v>108</v>
      </c>
      <c r="O16" s="6" t="s">
        <v>108</v>
      </c>
      <c r="P16" s="6" t="s">
        <v>220</v>
      </c>
      <c r="Q16" s="6" t="s">
        <v>221</v>
      </c>
      <c r="R16" s="6" t="s">
        <v>222</v>
      </c>
    </row>
    <row r="17" customFormat="false" ht="23.85" hidden="false" customHeight="false" outlineLevel="0" collapsed="false">
      <c r="A17" s="6" t="n">
        <v>13</v>
      </c>
      <c r="B17" s="6" t="s">
        <v>223</v>
      </c>
      <c r="C17" s="6" t="s">
        <v>108</v>
      </c>
      <c r="D17" s="6" t="s">
        <v>78</v>
      </c>
      <c r="E17" s="6" t="s">
        <v>103</v>
      </c>
      <c r="F17" s="6" t="s">
        <v>224</v>
      </c>
      <c r="G17" s="6" t="s">
        <v>225</v>
      </c>
      <c r="H17" s="6" t="s">
        <v>226</v>
      </c>
      <c r="I17" s="6" t="s">
        <v>227</v>
      </c>
      <c r="J17" s="6" t="s">
        <v>228</v>
      </c>
      <c r="K17" s="6" t="s">
        <v>108</v>
      </c>
      <c r="L17" s="6" t="s">
        <v>108</v>
      </c>
      <c r="M17" s="6" t="s">
        <v>108</v>
      </c>
      <c r="N17" s="6" t="s">
        <v>108</v>
      </c>
      <c r="O17" s="6" t="s">
        <v>108</v>
      </c>
      <c r="P17" s="6" t="s">
        <v>220</v>
      </c>
      <c r="Q17" s="6" t="s">
        <v>229</v>
      </c>
      <c r="R17" s="6" t="s">
        <v>230</v>
      </c>
    </row>
    <row r="18" customFormat="false" ht="23.85" hidden="false" customHeight="false" outlineLevel="0" collapsed="false">
      <c r="A18" s="6" t="n">
        <v>14</v>
      </c>
      <c r="B18" s="6" t="s">
        <v>231</v>
      </c>
      <c r="C18" s="6" t="s">
        <v>232</v>
      </c>
      <c r="D18" s="6" t="s">
        <v>233</v>
      </c>
      <c r="E18" s="6" t="s">
        <v>234</v>
      </c>
      <c r="F18" s="6" t="s">
        <v>235</v>
      </c>
      <c r="G18" s="6" t="s">
        <v>236</v>
      </c>
      <c r="H18" s="6" t="s">
        <v>237</v>
      </c>
      <c r="I18" s="6" t="s">
        <v>238</v>
      </c>
      <c r="J18" s="6" t="s">
        <v>239</v>
      </c>
      <c r="K18" s="6" t="s">
        <v>108</v>
      </c>
      <c r="L18" s="6" t="s">
        <v>240</v>
      </c>
      <c r="M18" s="6" t="s">
        <v>108</v>
      </c>
      <c r="N18" s="6" t="s">
        <v>108</v>
      </c>
      <c r="O18" s="6" t="s">
        <v>108</v>
      </c>
      <c r="P18" s="6" t="s">
        <v>108</v>
      </c>
      <c r="Q18" s="6" t="s">
        <v>241</v>
      </c>
      <c r="R18" s="6" t="s">
        <v>242</v>
      </c>
    </row>
    <row r="19" customFormat="false" ht="23.85" hidden="false" customHeight="false" outlineLevel="0" collapsed="false">
      <c r="A19" s="6" t="n">
        <v>15</v>
      </c>
      <c r="B19" s="6" t="s">
        <v>75</v>
      </c>
      <c r="C19" s="6" t="s">
        <v>243</v>
      </c>
      <c r="D19" s="6" t="s">
        <v>76</v>
      </c>
      <c r="E19" s="6" t="s">
        <v>244</v>
      </c>
      <c r="F19" s="6" t="s">
        <v>245</v>
      </c>
      <c r="G19" s="6" t="s">
        <v>246</v>
      </c>
      <c r="H19" s="6" t="s">
        <v>108</v>
      </c>
      <c r="I19" s="6" t="s">
        <v>247</v>
      </c>
      <c r="J19" s="6" t="s">
        <v>248</v>
      </c>
      <c r="K19" s="6" t="s">
        <v>108</v>
      </c>
      <c r="L19" s="6" t="s">
        <v>249</v>
      </c>
      <c r="M19" s="6" t="s">
        <v>108</v>
      </c>
      <c r="N19" s="6" t="s">
        <v>108</v>
      </c>
      <c r="O19" s="6" t="s">
        <v>108</v>
      </c>
      <c r="P19" s="6" t="s">
        <v>108</v>
      </c>
      <c r="Q19" s="6" t="s">
        <v>250</v>
      </c>
      <c r="R19" s="6" t="s">
        <v>251</v>
      </c>
    </row>
    <row r="20" customFormat="false" ht="23.85" hidden="false" customHeight="false" outlineLevel="0" collapsed="false">
      <c r="A20" s="20" t="n">
        <v>16</v>
      </c>
      <c r="B20" s="20" t="s">
        <v>252</v>
      </c>
      <c r="C20" s="20" t="s">
        <v>108</v>
      </c>
      <c r="D20" s="20" t="s">
        <v>80</v>
      </c>
      <c r="E20" s="20" t="s">
        <v>253</v>
      </c>
      <c r="F20" s="20" t="s">
        <v>254</v>
      </c>
      <c r="G20" s="20" t="s">
        <v>255</v>
      </c>
      <c r="H20" s="20" t="s">
        <v>256</v>
      </c>
      <c r="I20" s="20" t="s">
        <v>257</v>
      </c>
      <c r="J20" s="20" t="s">
        <v>258</v>
      </c>
      <c r="K20" s="20" t="s">
        <v>108</v>
      </c>
      <c r="L20" s="20" t="s">
        <v>259</v>
      </c>
      <c r="M20" s="20" t="s">
        <v>108</v>
      </c>
      <c r="N20" s="20" t="s">
        <v>108</v>
      </c>
      <c r="O20" s="20" t="s">
        <v>108</v>
      </c>
      <c r="P20" s="20" t="s">
        <v>108</v>
      </c>
      <c r="Q20" s="20" t="s">
        <v>260</v>
      </c>
      <c r="R20" s="20" t="s">
        <v>261</v>
      </c>
    </row>
    <row r="21" customFormat="false" ht="23.85" hidden="false" customHeight="false" outlineLevel="0" collapsed="false">
      <c r="A21" s="20" t="n">
        <v>17</v>
      </c>
      <c r="B21" s="20" t="s">
        <v>262</v>
      </c>
      <c r="C21" s="20" t="s">
        <v>108</v>
      </c>
      <c r="D21" s="20" t="s">
        <v>78</v>
      </c>
      <c r="E21" s="20" t="s">
        <v>253</v>
      </c>
      <c r="F21" s="20" t="s">
        <v>263</v>
      </c>
      <c r="G21" s="20" t="s">
        <v>264</v>
      </c>
      <c r="H21" s="20" t="s">
        <v>108</v>
      </c>
      <c r="I21" s="20" t="s">
        <v>265</v>
      </c>
      <c r="J21" s="20" t="s">
        <v>108</v>
      </c>
      <c r="K21" s="20" t="s">
        <v>108</v>
      </c>
      <c r="L21" s="20" t="s">
        <v>108</v>
      </c>
      <c r="M21" s="20" t="s">
        <v>108</v>
      </c>
      <c r="N21" s="20" t="s">
        <v>108</v>
      </c>
      <c r="O21" s="20" t="s">
        <v>108</v>
      </c>
      <c r="P21" s="20" t="s">
        <v>266</v>
      </c>
      <c r="Q21" s="20" t="s">
        <v>267</v>
      </c>
      <c r="R21" s="20" t="s">
        <v>268</v>
      </c>
    </row>
    <row r="22" customFormat="false" ht="23.85" hidden="false" customHeight="false" outlineLevel="0" collapsed="false">
      <c r="A22" s="20" t="n">
        <v>18</v>
      </c>
      <c r="B22" s="20" t="s">
        <v>269</v>
      </c>
      <c r="C22" s="20" t="s">
        <v>108</v>
      </c>
      <c r="D22" s="20" t="s">
        <v>270</v>
      </c>
      <c r="E22" s="20" t="s">
        <v>253</v>
      </c>
      <c r="F22" s="20" t="s">
        <v>271</v>
      </c>
      <c r="G22" s="20" t="s">
        <v>108</v>
      </c>
      <c r="H22" s="20" t="s">
        <v>272</v>
      </c>
      <c r="I22" s="20" t="s">
        <v>273</v>
      </c>
      <c r="J22" s="20" t="s">
        <v>274</v>
      </c>
      <c r="K22" s="20" t="s">
        <v>108</v>
      </c>
      <c r="L22" s="20" t="s">
        <v>108</v>
      </c>
      <c r="M22" s="20" t="s">
        <v>108</v>
      </c>
      <c r="N22" s="20" t="s">
        <v>108</v>
      </c>
      <c r="O22" s="20" t="s">
        <v>108</v>
      </c>
      <c r="P22" s="20" t="s">
        <v>108</v>
      </c>
      <c r="Q22" s="20" t="s">
        <v>275</v>
      </c>
      <c r="R22" s="20" t="s">
        <v>276</v>
      </c>
    </row>
    <row r="24" customFormat="false" ht="15" hidden="false" customHeight="false" outlineLevel="0" collapsed="false">
      <c r="B24" s="21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60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278</v>
      </c>
    </row>
    <row r="2" customFormat="false" ht="15" hidden="false" customHeight="false" outlineLevel="0" collapsed="false">
      <c r="A2" s="2" t="s">
        <v>279</v>
      </c>
    </row>
    <row r="4" customFormat="false" ht="42" hidden="false" customHeight="true" outlineLevel="0" collapsed="false">
      <c r="A4" s="12" t="s">
        <v>59</v>
      </c>
      <c r="B4" s="12" t="s">
        <v>280</v>
      </c>
      <c r="C4" s="12" t="s">
        <v>281</v>
      </c>
      <c r="D4" s="12" t="s">
        <v>282</v>
      </c>
      <c r="E4" s="12" t="s">
        <v>99</v>
      </c>
    </row>
    <row r="5" customFormat="false" ht="23.85" hidden="false" customHeight="false" outlineLevel="0" collapsed="false">
      <c r="A5" s="6" t="s">
        <v>114</v>
      </c>
      <c r="B5" s="6" t="s">
        <v>283</v>
      </c>
      <c r="C5" s="6" t="s">
        <v>284</v>
      </c>
      <c r="D5" s="6" t="s">
        <v>285</v>
      </c>
      <c r="E5" s="6" t="s">
        <v>286</v>
      </c>
    </row>
    <row r="6" customFormat="false" ht="23.85" hidden="false" customHeight="false" outlineLevel="0" collapsed="false">
      <c r="A6" s="6" t="s">
        <v>124</v>
      </c>
      <c r="B6" s="6" t="s">
        <v>287</v>
      </c>
      <c r="C6" s="6" t="s">
        <v>288</v>
      </c>
      <c r="D6" s="6" t="s">
        <v>289</v>
      </c>
      <c r="E6" s="6" t="s">
        <v>131</v>
      </c>
    </row>
    <row r="7" customFormat="false" ht="23.85" hidden="false" customHeight="false" outlineLevel="0" collapsed="false">
      <c r="A7" s="6" t="s">
        <v>132</v>
      </c>
      <c r="B7" s="6" t="s">
        <v>287</v>
      </c>
      <c r="C7" s="6" t="s">
        <v>290</v>
      </c>
      <c r="D7" s="6" t="s">
        <v>291</v>
      </c>
      <c r="E7" s="6" t="s">
        <v>123</v>
      </c>
    </row>
    <row r="8" customFormat="false" ht="23.85" hidden="false" customHeight="false" outlineLevel="0" collapsed="false">
      <c r="A8" s="6" t="s">
        <v>139</v>
      </c>
      <c r="B8" s="6" t="s">
        <v>292</v>
      </c>
      <c r="C8" s="6" t="s">
        <v>293</v>
      </c>
      <c r="D8" s="6" t="s">
        <v>294</v>
      </c>
      <c r="E8" s="6" t="s">
        <v>145</v>
      </c>
    </row>
    <row r="9" customFormat="false" ht="23.85" hidden="false" customHeight="false" outlineLevel="0" collapsed="false">
      <c r="A9" s="6" t="s">
        <v>146</v>
      </c>
      <c r="B9" s="6" t="s">
        <v>292</v>
      </c>
      <c r="C9" s="6" t="s">
        <v>293</v>
      </c>
      <c r="D9" s="6" t="s">
        <v>295</v>
      </c>
      <c r="E9" s="6" t="s">
        <v>145</v>
      </c>
    </row>
    <row r="10" customFormat="false" ht="23.85" hidden="false" customHeight="false" outlineLevel="0" collapsed="false">
      <c r="A10" s="6" t="s">
        <v>71</v>
      </c>
      <c r="B10" s="6" t="s">
        <v>296</v>
      </c>
      <c r="C10" s="6" t="s">
        <v>297</v>
      </c>
      <c r="D10" s="6" t="s">
        <v>298</v>
      </c>
      <c r="E10" s="6" t="s">
        <v>299</v>
      </c>
    </row>
    <row r="11" customFormat="false" ht="23.85" hidden="false" customHeight="false" outlineLevel="0" collapsed="false">
      <c r="A11" s="6" t="s">
        <v>300</v>
      </c>
      <c r="B11" s="6" t="s">
        <v>301</v>
      </c>
      <c r="C11" s="6" t="s">
        <v>302</v>
      </c>
      <c r="D11" s="6" t="s">
        <v>303</v>
      </c>
      <c r="E11" s="6" t="s">
        <v>304</v>
      </c>
    </row>
    <row r="12" customFormat="false" ht="23.85" hidden="false" customHeight="false" outlineLevel="0" collapsed="false">
      <c r="A12" s="6" t="s">
        <v>73</v>
      </c>
      <c r="B12" s="6" t="s">
        <v>305</v>
      </c>
      <c r="C12" s="6" t="s">
        <v>306</v>
      </c>
      <c r="D12" s="6" t="s">
        <v>307</v>
      </c>
      <c r="E12" s="6" t="s">
        <v>199</v>
      </c>
    </row>
    <row r="13" customFormat="false" ht="35.05" hidden="false" customHeight="false" outlineLevel="0" collapsed="false">
      <c r="A13" s="6" t="s">
        <v>308</v>
      </c>
      <c r="B13" s="6" t="s">
        <v>309</v>
      </c>
      <c r="C13" s="6" t="s">
        <v>310</v>
      </c>
      <c r="D13" s="6" t="s">
        <v>311</v>
      </c>
      <c r="E13" s="6" t="s">
        <v>312</v>
      </c>
    </row>
    <row r="14" customFormat="false" ht="15" hidden="false" customHeight="false" outlineLevel="0" collapsed="false">
      <c r="A14" s="6" t="s">
        <v>313</v>
      </c>
      <c r="B14" s="6" t="s">
        <v>314</v>
      </c>
      <c r="C14" s="6" t="s">
        <v>315</v>
      </c>
      <c r="D14" s="6" t="s">
        <v>316</v>
      </c>
      <c r="E14" s="6" t="s">
        <v>251</v>
      </c>
    </row>
    <row r="15" customFormat="false" ht="23.85" hidden="false" customHeight="false" outlineLevel="0" collapsed="false">
      <c r="A15" s="6" t="s">
        <v>317</v>
      </c>
      <c r="B15" s="6" t="s">
        <v>318</v>
      </c>
      <c r="C15" s="6" t="s">
        <v>319</v>
      </c>
      <c r="D15" s="6" t="s">
        <v>320</v>
      </c>
      <c r="E15" s="6" t="s">
        <v>321</v>
      </c>
    </row>
    <row r="16" customFormat="false" ht="23.85" hidden="false" customHeight="false" outlineLevel="0" collapsed="false">
      <c r="A16" s="6" t="s">
        <v>322</v>
      </c>
      <c r="B16" s="6" t="s">
        <v>323</v>
      </c>
      <c r="C16" s="6" t="s">
        <v>324</v>
      </c>
      <c r="D16" s="6" t="s">
        <v>325</v>
      </c>
      <c r="E16" s="6" t="s">
        <v>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7"/>
    <col collapsed="false" customWidth="true" hidden="false" outlineLevel="0" max="7" min="7" style="0" width="22"/>
    <col collapsed="false" customWidth="true" hidden="false" outlineLevel="0" max="9" min="8" style="0" width="12"/>
    <col collapsed="false" customWidth="true" hidden="false" outlineLevel="0" max="10" min="10" style="0" width="30"/>
    <col collapsed="false" customWidth="true" hidden="false" outlineLevel="0" max="12" min="11" style="0" width="11"/>
    <col collapsed="false" customWidth="true" hidden="false" outlineLevel="0" max="13" min="13" style="0" width="7"/>
    <col collapsed="false" customWidth="true" hidden="false" outlineLevel="0" max="15" min="14" style="0" width="12"/>
    <col collapsed="false" customWidth="true" hidden="false" outlineLevel="0" max="16" min="16" style="0" width="26"/>
    <col collapsed="false" customWidth="true" hidden="false" outlineLevel="0" max="17" min="17" style="0" width="30"/>
    <col collapsed="false" customWidth="true" hidden="false" outlineLevel="0" max="19" min="18" style="0" width="10"/>
    <col collapsed="false" customWidth="true" hidden="false" outlineLevel="0" max="20" min="20" style="0" width="7"/>
    <col collapsed="false" customWidth="true" hidden="false" outlineLevel="0" max="22" min="21" style="0" width="12"/>
    <col collapsed="false" customWidth="true" hidden="false" outlineLevel="0" max="23" min="23" style="0" width="28"/>
    <col collapsed="false" customWidth="true" hidden="false" outlineLevel="0" max="25" min="24" style="0" width="10"/>
    <col collapsed="false" customWidth="true" hidden="false" outlineLevel="0" max="26" min="26" style="0" width="12"/>
  </cols>
  <sheetData>
    <row r="1" customFormat="false" ht="17.35" hidden="false" customHeight="false" outlineLevel="0" collapsed="false">
      <c r="A1" s="1" t="s">
        <v>327</v>
      </c>
    </row>
    <row r="2" customFormat="false" ht="15" hidden="false" customHeight="false" outlineLevel="0" collapsed="false">
      <c r="A2" s="2" t="s">
        <v>328</v>
      </c>
    </row>
    <row r="4" customFormat="false" ht="42" hidden="false" customHeight="true" outlineLevel="0" collapsed="false">
      <c r="A4" s="12" t="s">
        <v>84</v>
      </c>
      <c r="B4" s="12" t="s">
        <v>61</v>
      </c>
      <c r="C4" s="12" t="s">
        <v>329</v>
      </c>
      <c r="D4" s="12" t="s">
        <v>330</v>
      </c>
      <c r="E4" s="12" t="s">
        <v>331</v>
      </c>
      <c r="F4" s="12" t="s">
        <v>332</v>
      </c>
      <c r="G4" s="12" t="s">
        <v>333</v>
      </c>
      <c r="H4" s="12" t="s">
        <v>334</v>
      </c>
      <c r="I4" s="12" t="s">
        <v>335</v>
      </c>
      <c r="J4" s="12" t="s">
        <v>336</v>
      </c>
      <c r="K4" s="12" t="s">
        <v>337</v>
      </c>
      <c r="L4" s="12" t="s">
        <v>338</v>
      </c>
      <c r="M4" s="12" t="s">
        <v>339</v>
      </c>
      <c r="N4" s="12" t="s">
        <v>340</v>
      </c>
      <c r="O4" s="12" t="s">
        <v>341</v>
      </c>
      <c r="P4" s="12" t="s">
        <v>342</v>
      </c>
      <c r="Q4" s="12" t="s">
        <v>343</v>
      </c>
      <c r="R4" s="12" t="s">
        <v>344</v>
      </c>
      <c r="S4" s="12" t="s">
        <v>345</v>
      </c>
      <c r="T4" s="12" t="s">
        <v>346</v>
      </c>
      <c r="U4" s="12" t="s">
        <v>347</v>
      </c>
      <c r="V4" s="12" t="s">
        <v>348</v>
      </c>
      <c r="W4" s="12" t="s">
        <v>349</v>
      </c>
      <c r="X4" s="12" t="s">
        <v>350</v>
      </c>
      <c r="Y4" s="12" t="s">
        <v>351</v>
      </c>
      <c r="Z4" s="12" t="s">
        <v>352</v>
      </c>
    </row>
    <row r="5" customFormat="false" ht="35.05" hidden="false" customHeight="false" outlineLevel="0" collapsed="false">
      <c r="A5" s="6" t="n">
        <v>1</v>
      </c>
      <c r="B5" s="4" t="s">
        <v>353</v>
      </c>
      <c r="C5" s="6" t="s">
        <v>124</v>
      </c>
      <c r="D5" s="22" t="n">
        <v>0.054</v>
      </c>
      <c r="E5" s="23" t="n">
        <v>37790</v>
      </c>
      <c r="F5" s="24" t="s">
        <v>54</v>
      </c>
      <c r="G5" s="6" t="s">
        <v>354</v>
      </c>
      <c r="H5" s="25" t="n">
        <f aca="false">IF(E5="","Quote only",E5*INDEX(Assumptions!$B$12:$B$16,MATCH(F5,Assumptions!$A$12:$A$16,0)))</f>
        <v>23067.016</v>
      </c>
      <c r="I5" s="25" t="n">
        <f aca="false">IF(ISNUMBER(H5),H5/D5,"–")</f>
        <v>427166.962962963</v>
      </c>
      <c r="J5" s="6" t="s">
        <v>355</v>
      </c>
      <c r="K5" s="23" t="n">
        <v>1386</v>
      </c>
      <c r="L5" s="23" t="n">
        <v>1690</v>
      </c>
      <c r="M5" s="24" t="s">
        <v>52</v>
      </c>
      <c r="N5" s="25" t="n">
        <f aca="false">AVERAGE(K5:L5)*INDEX(Assumptions!$B$12:$B$16,MATCH(M5,Assumptions!$A$12:$A$16,0))</f>
        <v>1538</v>
      </c>
      <c r="O5" s="25" t="n">
        <f aca="false">N5/D5</f>
        <v>28481.4814814815</v>
      </c>
      <c r="P5" s="6" t="s">
        <v>356</v>
      </c>
      <c r="Q5" s="6" t="s">
        <v>357</v>
      </c>
      <c r="R5" s="26" t="n">
        <v>15</v>
      </c>
      <c r="S5" s="26" t="n">
        <v>25</v>
      </c>
      <c r="T5" s="24" t="s">
        <v>53</v>
      </c>
      <c r="U5" s="25" t="n">
        <f aca="false">AVERAGE(R5:S5)*INDEX(Assumptions!$B$12:$B$16,MATCH(T5,Assumptions!$A$12:$A$16,0))</f>
        <v>1935.6</v>
      </c>
      <c r="V5" s="25" t="n">
        <f aca="false">U5/D5</f>
        <v>35844.4444444444</v>
      </c>
      <c r="W5" s="14" t="s">
        <v>358</v>
      </c>
      <c r="X5" s="27" t="n">
        <f aca="false">IF(ISNUMBER(H5),H5/U5,"–")</f>
        <v>11.9172432320727</v>
      </c>
      <c r="Y5" s="27" t="n">
        <f aca="false">IF(ISNUMBER(H5),H5/N5,"–")</f>
        <v>14.9980598179454</v>
      </c>
      <c r="Z5" s="6" t="s">
        <v>359</v>
      </c>
    </row>
    <row r="6" customFormat="false" ht="35.05" hidden="false" customHeight="false" outlineLevel="0" collapsed="false">
      <c r="A6" s="6" t="n">
        <v>2</v>
      </c>
      <c r="B6" s="4" t="s">
        <v>360</v>
      </c>
      <c r="C6" s="6" t="s">
        <v>132</v>
      </c>
      <c r="D6" s="22" t="n">
        <v>0.072</v>
      </c>
      <c r="E6" s="23" t="n">
        <v>44460</v>
      </c>
      <c r="F6" s="24" t="s">
        <v>54</v>
      </c>
      <c r="G6" s="6" t="s">
        <v>354</v>
      </c>
      <c r="H6" s="25" t="n">
        <f aca="false">IF(E6="","Quote only",E6*INDEX(Assumptions!$B$12:$B$16,MATCH(F6,Assumptions!$A$12:$A$16,0)))</f>
        <v>27138.384</v>
      </c>
      <c r="I6" s="25" t="n">
        <f aca="false">IF(ISNUMBER(H6),H6/D6,"–")</f>
        <v>376922</v>
      </c>
      <c r="J6" s="6" t="s">
        <v>361</v>
      </c>
      <c r="K6" s="23" t="n">
        <v>1800</v>
      </c>
      <c r="L6" s="23" t="n">
        <v>2045</v>
      </c>
      <c r="M6" s="24" t="s">
        <v>52</v>
      </c>
      <c r="N6" s="25" t="n">
        <f aca="false">AVERAGE(K6:L6)*INDEX(Assumptions!$B$12:$B$16,MATCH(M6,Assumptions!$A$12:$A$16,0))</f>
        <v>1922.5</v>
      </c>
      <c r="O6" s="25" t="n">
        <f aca="false">N6/D6</f>
        <v>26701.3888888889</v>
      </c>
      <c r="P6" s="6" t="s">
        <v>362</v>
      </c>
      <c r="Q6" s="6" t="s">
        <v>363</v>
      </c>
      <c r="R6" s="26" t="n">
        <v>20</v>
      </c>
      <c r="S6" s="26" t="n">
        <v>35</v>
      </c>
      <c r="T6" s="24" t="s">
        <v>53</v>
      </c>
      <c r="U6" s="25" t="n">
        <f aca="false">AVERAGE(R6:S6)*INDEX(Assumptions!$B$12:$B$16,MATCH(T6,Assumptions!$A$12:$A$16,0))</f>
        <v>2661.45</v>
      </c>
      <c r="V6" s="25" t="n">
        <f aca="false">U6/D6</f>
        <v>36964.5833333333</v>
      </c>
      <c r="W6" s="14" t="s">
        <v>364</v>
      </c>
      <c r="X6" s="27" t="n">
        <f aca="false">IF(ISNUMBER(H6),H6/U6,"–")</f>
        <v>10.1968415713239</v>
      </c>
      <c r="Y6" s="27" t="n">
        <f aca="false">IF(ISNUMBER(H6),H6/N6,"–")</f>
        <v>14.1161945383615</v>
      </c>
      <c r="Z6" s="6" t="s">
        <v>359</v>
      </c>
    </row>
    <row r="7" customFormat="false" ht="35.05" hidden="false" customHeight="false" outlineLevel="0" collapsed="false">
      <c r="A7" s="6" t="n">
        <v>3</v>
      </c>
      <c r="B7" s="4" t="s">
        <v>365</v>
      </c>
      <c r="C7" s="6" t="s">
        <v>71</v>
      </c>
      <c r="D7" s="22" t="n">
        <v>2.5</v>
      </c>
      <c r="E7" s="23" t="n">
        <v>1097800</v>
      </c>
      <c r="F7" s="24" t="s">
        <v>54</v>
      </c>
      <c r="G7" s="6" t="s">
        <v>366</v>
      </c>
      <c r="H7" s="25" t="n">
        <f aca="false">IF(E7="","Quote only",E7*INDEX(Assumptions!$B$12:$B$16,MATCH(F7,Assumptions!$A$12:$A$16,0)))</f>
        <v>670097.12</v>
      </c>
      <c r="I7" s="25" t="n">
        <f aca="false">IF(ISNUMBER(H7),H7/D7,"–")</f>
        <v>268038.848</v>
      </c>
      <c r="J7" s="6" t="s">
        <v>367</v>
      </c>
      <c r="K7" s="23" t="n">
        <v>40000</v>
      </c>
      <c r="L7" s="23" t="n">
        <v>65000</v>
      </c>
      <c r="M7" s="24" t="s">
        <v>52</v>
      </c>
      <c r="N7" s="25" t="n">
        <f aca="false">AVERAGE(K7:L7)*INDEX(Assumptions!$B$12:$B$16,MATCH(M7,Assumptions!$A$12:$A$16,0))</f>
        <v>52500</v>
      </c>
      <c r="O7" s="25" t="n">
        <f aca="false">N7/D7</f>
        <v>21000</v>
      </c>
      <c r="P7" s="6" t="s">
        <v>368</v>
      </c>
      <c r="Q7" s="6" t="s">
        <v>369</v>
      </c>
      <c r="R7" s="26" t="n">
        <v>375</v>
      </c>
      <c r="S7" s="26" t="n">
        <v>625</v>
      </c>
      <c r="T7" s="24" t="s">
        <v>53</v>
      </c>
      <c r="U7" s="25" t="n">
        <f aca="false">AVERAGE(R7:S7)*INDEX(Assumptions!$B$12:$B$16,MATCH(T7,Assumptions!$A$12:$A$16,0))</f>
        <v>48390</v>
      </c>
      <c r="V7" s="25" t="n">
        <f aca="false">U7/D7</f>
        <v>19356</v>
      </c>
      <c r="W7" s="14" t="s">
        <v>370</v>
      </c>
      <c r="X7" s="27" t="n">
        <f aca="false">IF(ISNUMBER(H7),H7/U7,"–")</f>
        <v>13.8478429427568</v>
      </c>
      <c r="Y7" s="27" t="n">
        <f aca="false">IF(ISNUMBER(H7),H7/N7,"–")</f>
        <v>12.7637546666667</v>
      </c>
      <c r="Z7" s="6" t="s">
        <v>371</v>
      </c>
    </row>
    <row r="8" customFormat="false" ht="23.85" hidden="false" customHeight="false" outlineLevel="0" collapsed="false">
      <c r="A8" s="6" t="n">
        <v>4</v>
      </c>
      <c r="B8" s="4" t="s">
        <v>372</v>
      </c>
      <c r="C8" s="6" t="s">
        <v>164</v>
      </c>
      <c r="D8" s="22" t="n">
        <v>1.3</v>
      </c>
      <c r="E8" s="23"/>
      <c r="F8" s="24" t="s">
        <v>54</v>
      </c>
      <c r="G8" s="6" t="s">
        <v>373</v>
      </c>
      <c r="H8" s="25" t="str">
        <f aca="false">IF(E8="","Quote only",E8*INDEX(Assumptions!$B$12:$B$16,MATCH(F8,Assumptions!$A$12:$A$16,0)))</f>
        <v>Quote only</v>
      </c>
      <c r="I8" s="25" t="str">
        <f aca="false">IF(ISNUMBER(H8),H8/D8,"–")</f>
        <v>–</v>
      </c>
      <c r="J8" s="6" t="s">
        <v>374</v>
      </c>
      <c r="K8" s="26" t="n">
        <v>26000</v>
      </c>
      <c r="L8" s="26" t="n">
        <v>45500</v>
      </c>
      <c r="M8" s="24" t="s">
        <v>52</v>
      </c>
      <c r="N8" s="25" t="n">
        <f aca="false">AVERAGE(K8:L8)*INDEX(Assumptions!$B$12:$B$16,MATCH(M8,Assumptions!$A$12:$A$16,0))</f>
        <v>35750</v>
      </c>
      <c r="O8" s="25" t="n">
        <f aca="false">N8/D8</f>
        <v>27500</v>
      </c>
      <c r="P8" s="14" t="s">
        <v>375</v>
      </c>
      <c r="Q8" s="6" t="s">
        <v>376</v>
      </c>
      <c r="R8" s="26" t="n">
        <v>180</v>
      </c>
      <c r="S8" s="26" t="n">
        <v>300</v>
      </c>
      <c r="T8" s="24" t="s">
        <v>53</v>
      </c>
      <c r="U8" s="25" t="n">
        <f aca="false">AVERAGE(R8:S8)*INDEX(Assumptions!$B$12:$B$16,MATCH(T8,Assumptions!$A$12:$A$16,0))</f>
        <v>23227.2</v>
      </c>
      <c r="V8" s="25" t="n">
        <f aca="false">U8/D8</f>
        <v>17867.0769230769</v>
      </c>
      <c r="W8" s="14" t="s">
        <v>377</v>
      </c>
      <c r="X8" s="27" t="str">
        <f aca="false">IF(ISNUMBER(H8),H8/U8,"–")</f>
        <v>–</v>
      </c>
      <c r="Y8" s="27" t="str">
        <f aca="false">IF(ISNUMBER(H8),H8/N8,"–")</f>
        <v>–</v>
      </c>
      <c r="Z8" s="6" t="s">
        <v>378</v>
      </c>
    </row>
    <row r="9" customFormat="false" ht="23.85" hidden="false" customHeight="false" outlineLevel="0" collapsed="false">
      <c r="A9" s="6" t="n">
        <v>5</v>
      </c>
      <c r="B9" s="4" t="s">
        <v>379</v>
      </c>
      <c r="C9" s="6" t="s">
        <v>380</v>
      </c>
      <c r="D9" s="22" t="n">
        <v>5.4</v>
      </c>
      <c r="E9" s="23"/>
      <c r="F9" s="24" t="s">
        <v>54</v>
      </c>
      <c r="G9" s="6" t="s">
        <v>381</v>
      </c>
      <c r="H9" s="25" t="str">
        <f aca="false">IF(E9="","Quote only",E9*INDEX(Assumptions!$B$12:$B$16,MATCH(F9,Assumptions!$A$12:$A$16,0)))</f>
        <v>Quote only</v>
      </c>
      <c r="I9" s="25" t="str">
        <f aca="false">IF(ISNUMBER(H9),H9/D9,"–")</f>
        <v>–</v>
      </c>
      <c r="J9" s="6" t="s">
        <v>382</v>
      </c>
      <c r="K9" s="23" t="n">
        <v>105000</v>
      </c>
      <c r="L9" s="23" t="n">
        <v>150000</v>
      </c>
      <c r="M9" s="24" t="s">
        <v>52</v>
      </c>
      <c r="N9" s="25" t="n">
        <f aca="false">AVERAGE(K9:L9)*INDEX(Assumptions!$B$12:$B$16,MATCH(M9,Assumptions!$A$12:$A$16,0))</f>
        <v>127500</v>
      </c>
      <c r="O9" s="25" t="n">
        <f aca="false">N9/D9</f>
        <v>23611.1111111111</v>
      </c>
      <c r="P9" s="6" t="s">
        <v>383</v>
      </c>
      <c r="Q9" s="6" t="s">
        <v>384</v>
      </c>
      <c r="R9" s="23" t="n">
        <v>723</v>
      </c>
      <c r="S9" s="23" t="n">
        <v>741</v>
      </c>
      <c r="T9" s="24" t="s">
        <v>56</v>
      </c>
      <c r="U9" s="25" t="n">
        <f aca="false">AVERAGE(R9:S9)*INDEX(Assumptions!$B$12:$B$16,MATCH(T9,Assumptions!$A$12:$A$16,0))</f>
        <v>77218.8264</v>
      </c>
      <c r="V9" s="25" t="n">
        <f aca="false">U9/D9</f>
        <v>14299.7826666667</v>
      </c>
      <c r="W9" s="6" t="s">
        <v>385</v>
      </c>
      <c r="X9" s="27" t="str">
        <f aca="false">IF(ISNUMBER(H9),H9/U9,"–")</f>
        <v>–</v>
      </c>
      <c r="Y9" s="27" t="str">
        <f aca="false">IF(ISNUMBER(H9),H9/N9,"–")</f>
        <v>–</v>
      </c>
      <c r="Z9" s="6" t="s">
        <v>386</v>
      </c>
    </row>
    <row r="10" customFormat="false" ht="23.85" hidden="false" customHeight="false" outlineLevel="0" collapsed="false">
      <c r="A10" s="6" t="n">
        <v>6</v>
      </c>
      <c r="B10" s="4" t="s">
        <v>387</v>
      </c>
      <c r="C10" s="6" t="s">
        <v>388</v>
      </c>
      <c r="D10" s="22" t="n">
        <v>10.8</v>
      </c>
      <c r="E10" s="23"/>
      <c r="F10" s="24" t="s">
        <v>54</v>
      </c>
      <c r="G10" s="6" t="s">
        <v>381</v>
      </c>
      <c r="H10" s="25" t="str">
        <f aca="false">IF(E10="","Quote only",E10*INDEX(Assumptions!$B$12:$B$16,MATCH(F10,Assumptions!$A$12:$A$16,0)))</f>
        <v>Quote only</v>
      </c>
      <c r="I10" s="25" t="str">
        <f aca="false">IF(ISNUMBER(H10),H10/D10,"–")</f>
        <v>–</v>
      </c>
      <c r="J10" s="6" t="s">
        <v>389</v>
      </c>
      <c r="K10" s="23" t="n">
        <v>200000</v>
      </c>
      <c r="L10" s="23" t="n">
        <v>290000</v>
      </c>
      <c r="M10" s="24" t="s">
        <v>52</v>
      </c>
      <c r="N10" s="25" t="n">
        <f aca="false">AVERAGE(K10:L10)*INDEX(Assumptions!$B$12:$B$16,MATCH(M10,Assumptions!$A$12:$A$16,0))</f>
        <v>245000</v>
      </c>
      <c r="O10" s="25" t="n">
        <f aca="false">N10/D10</f>
        <v>22685.1851851852</v>
      </c>
      <c r="P10" s="6" t="s">
        <v>383</v>
      </c>
      <c r="Q10" s="6" t="s">
        <v>390</v>
      </c>
      <c r="R10" s="26" t="n">
        <v>1446</v>
      </c>
      <c r="S10" s="26" t="n">
        <v>1482</v>
      </c>
      <c r="T10" s="24" t="s">
        <v>56</v>
      </c>
      <c r="U10" s="25" t="n">
        <f aca="false">AVERAGE(R10:S10)*INDEX(Assumptions!$B$12:$B$16,MATCH(T10,Assumptions!$A$12:$A$16,0))</f>
        <v>154437.6528</v>
      </c>
      <c r="V10" s="25" t="n">
        <f aca="false">U10/D10</f>
        <v>14299.7826666667</v>
      </c>
      <c r="W10" s="14" t="s">
        <v>391</v>
      </c>
      <c r="X10" s="27" t="str">
        <f aca="false">IF(ISNUMBER(H10),H10/U10,"–")</f>
        <v>–</v>
      </c>
      <c r="Y10" s="27" t="str">
        <f aca="false">IF(ISNUMBER(H10),H10/N10,"–")</f>
        <v>–</v>
      </c>
      <c r="Z10" s="6" t="s">
        <v>386</v>
      </c>
    </row>
    <row r="11" customFormat="false" ht="23.85" hidden="false" customHeight="false" outlineLevel="0" collapsed="false">
      <c r="A11" s="6" t="n">
        <v>7</v>
      </c>
      <c r="B11" s="4" t="s">
        <v>392</v>
      </c>
      <c r="C11" s="6" t="s">
        <v>308</v>
      </c>
      <c r="D11" s="22" t="n">
        <v>1</v>
      </c>
      <c r="E11" s="23"/>
      <c r="F11" s="24" t="s">
        <v>54</v>
      </c>
      <c r="G11" s="6" t="s">
        <v>393</v>
      </c>
      <c r="H11" s="25" t="str">
        <f aca="false">IF(E11="","Quote only",E11*INDEX(Assumptions!$B$12:$B$16,MATCH(F11,Assumptions!$A$12:$A$16,0)))</f>
        <v>Quote only</v>
      </c>
      <c r="I11" s="25" t="str">
        <f aca="false">IF(ISNUMBER(H11),H11/D11,"–")</f>
        <v>–</v>
      </c>
      <c r="J11" s="6" t="s">
        <v>394</v>
      </c>
      <c r="K11" s="23" t="n">
        <v>28000</v>
      </c>
      <c r="L11" s="23" t="n">
        <v>32000</v>
      </c>
      <c r="M11" s="24" t="s">
        <v>52</v>
      </c>
      <c r="N11" s="25" t="n">
        <f aca="false">AVERAGE(K11:L11)*INDEX(Assumptions!$B$12:$B$16,MATCH(M11,Assumptions!$A$12:$A$16,0))</f>
        <v>30000</v>
      </c>
      <c r="O11" s="25" t="n">
        <f aca="false">N11/D11</f>
        <v>30000</v>
      </c>
      <c r="P11" s="6" t="s">
        <v>395</v>
      </c>
      <c r="Q11" s="6" t="s">
        <v>396</v>
      </c>
      <c r="R11" s="23" t="n">
        <v>70</v>
      </c>
      <c r="S11" s="23" t="n">
        <v>90</v>
      </c>
      <c r="T11" s="24" t="s">
        <v>53</v>
      </c>
      <c r="U11" s="25" t="n">
        <f aca="false">AVERAGE(R11:S11)*INDEX(Assumptions!$B$12:$B$16,MATCH(T11,Assumptions!$A$12:$A$16,0))</f>
        <v>7742.4</v>
      </c>
      <c r="V11" s="25" t="n">
        <f aca="false">U11/D11</f>
        <v>7742.4</v>
      </c>
      <c r="W11" s="6" t="s">
        <v>397</v>
      </c>
      <c r="X11" s="27" t="str">
        <f aca="false">IF(ISNUMBER(H11),H11/U11,"–")</f>
        <v>–</v>
      </c>
      <c r="Y11" s="27" t="str">
        <f aca="false">IF(ISNUMBER(H11),H11/N11,"–")</f>
        <v>–</v>
      </c>
      <c r="Z11" s="6" t="s">
        <v>398</v>
      </c>
    </row>
    <row r="12" customFormat="false" ht="23.85" hidden="false" customHeight="false" outlineLevel="0" collapsed="false">
      <c r="A12" s="6" t="n">
        <v>8</v>
      </c>
      <c r="B12" s="4" t="s">
        <v>399</v>
      </c>
      <c r="C12" s="6" t="s">
        <v>400</v>
      </c>
      <c r="D12" s="22" t="n">
        <v>1</v>
      </c>
      <c r="E12" s="23"/>
      <c r="F12" s="24" t="s">
        <v>54</v>
      </c>
      <c r="G12" s="6" t="s">
        <v>401</v>
      </c>
      <c r="H12" s="25" t="str">
        <f aca="false">IF(E12="","Quote only",E12*INDEX(Assumptions!$B$12:$B$16,MATCH(F12,Assumptions!$A$12:$A$16,0)))</f>
        <v>Quote only</v>
      </c>
      <c r="I12" s="25" t="str">
        <f aca="false">IF(ISNUMBER(H12),H12/D12,"–")</f>
        <v>–</v>
      </c>
      <c r="J12" s="6" t="s">
        <v>402</v>
      </c>
      <c r="K12" s="23" t="n">
        <v>55</v>
      </c>
      <c r="L12" s="23" t="n">
        <v>75</v>
      </c>
      <c r="M12" s="24" t="s">
        <v>53</v>
      </c>
      <c r="N12" s="25" t="n">
        <f aca="false">AVERAGE(K12:L12)*INDEX(Assumptions!$B$12:$B$16,MATCH(M12,Assumptions!$A$12:$A$16,0))</f>
        <v>6290.7</v>
      </c>
      <c r="O12" s="25" t="n">
        <f aca="false">N12/D12</f>
        <v>6290.7</v>
      </c>
      <c r="P12" s="6" t="s">
        <v>403</v>
      </c>
      <c r="Q12" s="6" t="s">
        <v>404</v>
      </c>
      <c r="R12" s="23" t="n">
        <v>360</v>
      </c>
      <c r="S12" s="23" t="n">
        <v>443</v>
      </c>
      <c r="T12" s="24" t="s">
        <v>55</v>
      </c>
      <c r="U12" s="25" t="n">
        <f aca="false">AVERAGE(R12:S12)*INDEX(Assumptions!$B$12:$B$16,MATCH(T12,Assumptions!$A$12:$A$16,0))</f>
        <v>5442.18067226891</v>
      </c>
      <c r="V12" s="25" t="n">
        <f aca="false">U12/D12</f>
        <v>5442.18067226891</v>
      </c>
      <c r="W12" s="6" t="s">
        <v>405</v>
      </c>
      <c r="X12" s="27" t="str">
        <f aca="false">IF(ISNUMBER(H12),H12/U12,"–")</f>
        <v>–</v>
      </c>
      <c r="Y12" s="27" t="str">
        <f aca="false">IF(ISNUMBER(H12),H12/N12,"–")</f>
        <v>–</v>
      </c>
      <c r="Z12" s="6" t="s">
        <v>406</v>
      </c>
    </row>
    <row r="14" customFormat="false" ht="15" hidden="false" customHeight="false" outlineLevel="0" collapsed="false">
      <c r="B14" s="28" t="s">
        <v>407</v>
      </c>
    </row>
    <row r="15" customFormat="false" ht="15" hidden="false" customHeight="false" outlineLevel="0" collapsed="false">
      <c r="B15" s="19" t="s">
        <v>408</v>
      </c>
    </row>
    <row r="16" customFormat="false" ht="15" hidden="false" customHeight="false" outlineLevel="0" collapsed="false">
      <c r="B16" s="19" t="s">
        <v>409</v>
      </c>
    </row>
    <row r="17" customFormat="false" ht="15" hidden="false" customHeight="false" outlineLevel="0" collapsed="false">
      <c r="B17" s="19" t="s">
        <v>410</v>
      </c>
    </row>
    <row r="18" customFormat="false" ht="15" hidden="false" customHeight="false" outlineLevel="0" collapsed="false">
      <c r="B18" s="19" t="s">
        <v>411</v>
      </c>
    </row>
    <row r="21" customFormat="false" ht="15" hidden="false" customHeight="false" outlineLevel="0" collapsed="false">
      <c r="B21" s="10" t="s">
        <v>412</v>
      </c>
    </row>
    <row r="22" customFormat="false" ht="15" hidden="false" customHeight="false" outlineLevel="0" collapsed="false">
      <c r="B22" s="29" t="s">
        <v>61</v>
      </c>
      <c r="C22" s="29" t="s">
        <v>341</v>
      </c>
      <c r="D22" s="29" t="s">
        <v>348</v>
      </c>
    </row>
    <row r="23" customFormat="false" ht="15" hidden="false" customHeight="false" outlineLevel="0" collapsed="false">
      <c r="B23" s="6" t="s">
        <v>413</v>
      </c>
      <c r="C23" s="25" t="n">
        <f aca="false">O7</f>
        <v>21000</v>
      </c>
      <c r="D23" s="25" t="n">
        <f aca="false">V7</f>
        <v>19356</v>
      </c>
    </row>
    <row r="24" customFormat="false" ht="15" hidden="false" customHeight="false" outlineLevel="0" collapsed="false">
      <c r="B24" s="6" t="s">
        <v>414</v>
      </c>
      <c r="C24" s="25" t="n">
        <f aca="false">O9</f>
        <v>23611.1111111111</v>
      </c>
      <c r="D24" s="25" t="n">
        <f aca="false">V9</f>
        <v>14299.7826666667</v>
      </c>
    </row>
    <row r="25" customFormat="false" ht="15" hidden="false" customHeight="false" outlineLevel="0" collapsed="false">
      <c r="B25" s="6" t="s">
        <v>415</v>
      </c>
      <c r="C25" s="25" t="n">
        <f aca="false">O10</f>
        <v>22685.1851851852</v>
      </c>
      <c r="D25" s="25" t="n">
        <f aca="false">V10</f>
        <v>14299.7826666667</v>
      </c>
    </row>
    <row r="26" customFormat="false" ht="15" hidden="false" customHeight="false" outlineLevel="0" collapsed="false">
      <c r="B26" s="6" t="s">
        <v>416</v>
      </c>
      <c r="C26" s="25" t="n">
        <f aca="false">O11</f>
        <v>30000</v>
      </c>
      <c r="D26" s="25" t="n">
        <f aca="false">V11</f>
        <v>7742.4</v>
      </c>
    </row>
    <row r="27" customFormat="false" ht="15" hidden="false" customHeight="false" outlineLevel="0" collapsed="false">
      <c r="B27" s="6" t="s">
        <v>417</v>
      </c>
      <c r="C27" s="25" t="n">
        <f aca="false">O12</f>
        <v>6290.7</v>
      </c>
      <c r="D27" s="25" t="n">
        <f aca="false">V12</f>
        <v>5442.18067226891</v>
      </c>
    </row>
    <row r="29" customFormat="false" ht="15" hidden="false" customHeight="false" outlineLevel="0" collapsed="false">
      <c r="B29" s="10" t="s">
        <v>418</v>
      </c>
      <c r="C29" s="30" t="n">
        <f aca="false">I7</f>
        <v>268038.848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419</v>
      </c>
    </row>
    <row r="2" customFormat="false" ht="15" hidden="false" customHeight="false" outlineLevel="0" collapsed="false">
      <c r="A2" s="2" t="s">
        <v>420</v>
      </c>
    </row>
    <row r="4" customFormat="false" ht="42" hidden="false" customHeight="true" outlineLevel="0" collapsed="false">
      <c r="A4" s="12" t="s">
        <v>421</v>
      </c>
      <c r="B4" s="12" t="s">
        <v>422</v>
      </c>
      <c r="C4" s="12" t="s">
        <v>3</v>
      </c>
      <c r="D4" s="12" t="s">
        <v>36</v>
      </c>
      <c r="E4" s="12" t="s">
        <v>423</v>
      </c>
      <c r="F4" s="12" t="s">
        <v>424</v>
      </c>
      <c r="G4" s="12" t="s">
        <v>425</v>
      </c>
      <c r="H4" s="12" t="s">
        <v>99</v>
      </c>
    </row>
    <row r="5" customFormat="false" ht="15" hidden="false" customHeight="false" outlineLevel="0" collapsed="false">
      <c r="A5" s="6" t="s">
        <v>426</v>
      </c>
      <c r="B5" s="6" t="s">
        <v>427</v>
      </c>
      <c r="C5" s="22" t="n">
        <v>0.365</v>
      </c>
      <c r="D5" s="6" t="s">
        <v>428</v>
      </c>
      <c r="E5" s="31" t="n">
        <f aca="false">C5*1000*Assumptions!$B$15</f>
        <v>4947.43697478992</v>
      </c>
      <c r="F5" s="6" t="s">
        <v>429</v>
      </c>
      <c r="G5" s="6" t="s">
        <v>430</v>
      </c>
      <c r="H5" s="6" t="s">
        <v>431</v>
      </c>
    </row>
    <row r="6" customFormat="false" ht="15" hidden="false" customHeight="false" outlineLevel="0" collapsed="false">
      <c r="A6" s="6" t="s">
        <v>426</v>
      </c>
      <c r="B6" s="6" t="s">
        <v>432</v>
      </c>
      <c r="C6" s="22" t="n">
        <v>0.36</v>
      </c>
      <c r="D6" s="6" t="s">
        <v>428</v>
      </c>
      <c r="E6" s="31" t="n">
        <f aca="false">C6*1000*Assumptions!$B$15</f>
        <v>4879.66386554622</v>
      </c>
      <c r="F6" s="6" t="s">
        <v>429</v>
      </c>
      <c r="G6" s="6" t="s">
        <v>433</v>
      </c>
      <c r="H6" s="6" t="s">
        <v>434</v>
      </c>
    </row>
    <row r="7" customFormat="false" ht="15" hidden="false" customHeight="false" outlineLevel="0" collapsed="false">
      <c r="A7" s="6" t="s">
        <v>426</v>
      </c>
      <c r="B7" s="6" t="s">
        <v>435</v>
      </c>
      <c r="C7" s="22" t="n">
        <v>0.443</v>
      </c>
      <c r="D7" s="6" t="s">
        <v>428</v>
      </c>
      <c r="E7" s="31" t="n">
        <f aca="false">C7*1000*Assumptions!$B$15</f>
        <v>6004.6974789916</v>
      </c>
      <c r="F7" s="6" t="s">
        <v>429</v>
      </c>
      <c r="G7" s="6" t="s">
        <v>433</v>
      </c>
      <c r="H7" s="6" t="s">
        <v>434</v>
      </c>
    </row>
    <row r="8" customFormat="false" ht="15" hidden="false" customHeight="false" outlineLevel="0" collapsed="false">
      <c r="A8" s="6" t="s">
        <v>426</v>
      </c>
      <c r="B8" s="6" t="s">
        <v>436</v>
      </c>
      <c r="C8" s="22" t="n">
        <v>0.49</v>
      </c>
      <c r="D8" s="6" t="s">
        <v>428</v>
      </c>
      <c r="E8" s="31" t="n">
        <f aca="false">C8*1000*Assumptions!$B$15</f>
        <v>6641.76470588235</v>
      </c>
      <c r="F8" s="6" t="s">
        <v>429</v>
      </c>
      <c r="G8" s="6" t="s">
        <v>430</v>
      </c>
      <c r="H8" s="6" t="s">
        <v>431</v>
      </c>
    </row>
    <row r="9" customFormat="false" ht="15" hidden="false" customHeight="false" outlineLevel="0" collapsed="false">
      <c r="A9" s="6" t="s">
        <v>426</v>
      </c>
      <c r="B9" s="6" t="s">
        <v>437</v>
      </c>
      <c r="C9" s="32" t="n">
        <v>80</v>
      </c>
      <c r="D9" s="6" t="s">
        <v>438</v>
      </c>
      <c r="E9" s="31" t="n">
        <f aca="false">C9*Assumptions!$B$13</f>
        <v>7742.4</v>
      </c>
      <c r="F9" s="6" t="s">
        <v>429</v>
      </c>
      <c r="G9" s="6" t="s">
        <v>439</v>
      </c>
      <c r="H9" s="6" t="s">
        <v>440</v>
      </c>
    </row>
    <row r="10" customFormat="false" ht="15" hidden="false" customHeight="false" outlineLevel="0" collapsed="false">
      <c r="A10" s="6" t="s">
        <v>426</v>
      </c>
      <c r="B10" s="6" t="s">
        <v>441</v>
      </c>
      <c r="C10" s="32" t="n">
        <v>77</v>
      </c>
      <c r="D10" s="6" t="s">
        <v>438</v>
      </c>
      <c r="E10" s="31" t="n">
        <f aca="false">C10*Assumptions!$B$13</f>
        <v>7452.06</v>
      </c>
      <c r="F10" s="6" t="s">
        <v>429</v>
      </c>
      <c r="G10" s="6" t="s">
        <v>442</v>
      </c>
      <c r="H10" s="6" t="s">
        <v>443</v>
      </c>
    </row>
    <row r="11" customFormat="false" ht="15" hidden="false" customHeight="false" outlineLevel="0" collapsed="false">
      <c r="A11" s="6" t="s">
        <v>426</v>
      </c>
      <c r="B11" s="6" t="s">
        <v>444</v>
      </c>
      <c r="C11" s="32" t="n">
        <v>66</v>
      </c>
      <c r="D11" s="6" t="s">
        <v>438</v>
      </c>
      <c r="E11" s="31" t="n">
        <f aca="false">C11*Assumptions!$B$13</f>
        <v>6387.48</v>
      </c>
      <c r="F11" s="6" t="s">
        <v>429</v>
      </c>
      <c r="G11" s="6" t="s">
        <v>442</v>
      </c>
      <c r="H11" s="6" t="s">
        <v>443</v>
      </c>
    </row>
    <row r="12" customFormat="false" ht="15" hidden="false" customHeight="false" outlineLevel="0" collapsed="false">
      <c r="A12" s="6" t="s">
        <v>426</v>
      </c>
      <c r="B12" s="6" t="s">
        <v>445</v>
      </c>
      <c r="C12" s="32" t="n">
        <v>140</v>
      </c>
      <c r="D12" s="6" t="s">
        <v>438</v>
      </c>
      <c r="E12" s="31" t="n">
        <f aca="false">C12*Assumptions!$B$13</f>
        <v>13549.2</v>
      </c>
      <c r="F12" s="6" t="s">
        <v>429</v>
      </c>
      <c r="G12" s="6" t="s">
        <v>446</v>
      </c>
      <c r="H12" s="6" t="s">
        <v>447</v>
      </c>
    </row>
    <row r="13" customFormat="false" ht="15" hidden="false" customHeight="false" outlineLevel="0" collapsed="false">
      <c r="A13" s="6" t="s">
        <v>448</v>
      </c>
      <c r="B13" s="6" t="s">
        <v>449</v>
      </c>
      <c r="C13" s="32" t="n">
        <v>72.5</v>
      </c>
      <c r="D13" s="6" t="s">
        <v>438</v>
      </c>
      <c r="E13" s="31" t="n">
        <f aca="false">C13*Assumptions!$B$13</f>
        <v>7016.55</v>
      </c>
      <c r="F13" s="6" t="s">
        <v>429</v>
      </c>
      <c r="G13" s="6" t="s">
        <v>450</v>
      </c>
      <c r="H13" s="6" t="s">
        <v>451</v>
      </c>
    </row>
    <row r="14" customFormat="false" ht="15" hidden="false" customHeight="false" outlineLevel="0" collapsed="false">
      <c r="A14" s="6" t="s">
        <v>448</v>
      </c>
      <c r="B14" s="6" t="s">
        <v>452</v>
      </c>
      <c r="C14" s="32" t="n">
        <v>57.5</v>
      </c>
      <c r="D14" s="6" t="s">
        <v>438</v>
      </c>
      <c r="E14" s="31" t="n">
        <f aca="false">C14*Assumptions!$B$13</f>
        <v>5564.85</v>
      </c>
      <c r="F14" s="6" t="s">
        <v>429</v>
      </c>
      <c r="G14" s="6" t="s">
        <v>453</v>
      </c>
      <c r="H14" s="6" t="s">
        <v>454</v>
      </c>
    </row>
    <row r="15" customFormat="false" ht="15" hidden="false" customHeight="false" outlineLevel="0" collapsed="false">
      <c r="A15" s="6" t="s">
        <v>448</v>
      </c>
      <c r="B15" s="6" t="s">
        <v>455</v>
      </c>
      <c r="C15" s="32" t="n">
        <v>27500</v>
      </c>
      <c r="D15" s="6" t="s">
        <v>456</v>
      </c>
      <c r="E15" s="33" t="n">
        <f aca="false">C15</f>
        <v>27500</v>
      </c>
      <c r="F15" s="6" t="s">
        <v>429</v>
      </c>
      <c r="G15" s="6" t="s">
        <v>450</v>
      </c>
      <c r="H15" s="6" t="s">
        <v>457</v>
      </c>
    </row>
    <row r="16" customFormat="false" ht="15" hidden="false" customHeight="false" outlineLevel="0" collapsed="false">
      <c r="A16" s="6" t="s">
        <v>448</v>
      </c>
      <c r="B16" s="6" t="s">
        <v>458</v>
      </c>
      <c r="C16" s="32" t="n">
        <v>30000</v>
      </c>
      <c r="D16" s="6" t="s">
        <v>456</v>
      </c>
      <c r="E16" s="33" t="n">
        <f aca="false">C16</f>
        <v>30000</v>
      </c>
      <c r="F16" s="6" t="s">
        <v>429</v>
      </c>
      <c r="G16" s="6" t="s">
        <v>450</v>
      </c>
      <c r="H16" s="6" t="s">
        <v>459</v>
      </c>
    </row>
    <row r="17" customFormat="false" ht="15" hidden="false" customHeight="false" outlineLevel="0" collapsed="false">
      <c r="A17" s="6" t="s">
        <v>448</v>
      </c>
      <c r="B17" s="6" t="s">
        <v>460</v>
      </c>
      <c r="C17" s="32" t="n">
        <v>285000</v>
      </c>
      <c r="D17" s="6" t="s">
        <v>461</v>
      </c>
      <c r="E17" s="33" t="n">
        <f aca="false">C17</f>
        <v>285000</v>
      </c>
      <c r="F17" s="6" t="s">
        <v>462</v>
      </c>
      <c r="G17" s="6" t="s">
        <v>463</v>
      </c>
      <c r="H17" s="6" t="s">
        <v>464</v>
      </c>
    </row>
    <row r="18" customFormat="false" ht="15" hidden="false" customHeight="false" outlineLevel="0" collapsed="false">
      <c r="A18" s="6" t="s">
        <v>448</v>
      </c>
      <c r="B18" s="6" t="s">
        <v>465</v>
      </c>
      <c r="C18" s="32" t="n">
        <v>181000</v>
      </c>
      <c r="D18" s="6" t="s">
        <v>461</v>
      </c>
      <c r="E18" s="33" t="n">
        <f aca="false">C18</f>
        <v>181000</v>
      </c>
      <c r="F18" s="6" t="s">
        <v>462</v>
      </c>
      <c r="G18" s="6" t="s">
        <v>466</v>
      </c>
      <c r="H18" s="6" t="s">
        <v>467</v>
      </c>
    </row>
    <row r="19" customFormat="false" ht="15" hidden="false" customHeight="false" outlineLevel="0" collapsed="false">
      <c r="A19" s="6" t="s">
        <v>448</v>
      </c>
      <c r="B19" s="6" t="s">
        <v>468</v>
      </c>
      <c r="C19" s="32" t="n">
        <v>148000</v>
      </c>
      <c r="D19" s="6" t="s">
        <v>461</v>
      </c>
      <c r="E19" s="33" t="n">
        <f aca="false">C19</f>
        <v>148000</v>
      </c>
      <c r="F19" s="6" t="s">
        <v>462</v>
      </c>
      <c r="G19" s="6" t="s">
        <v>469</v>
      </c>
      <c r="H19" s="6" t="s">
        <v>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352</v>
      </c>
    </row>
    <row r="3" customFormat="false" ht="42" hidden="false" customHeight="true" outlineLevel="0" collapsed="false">
      <c r="A3" s="12" t="s">
        <v>471</v>
      </c>
      <c r="B3" s="12" t="s">
        <v>472</v>
      </c>
      <c r="C3" s="12" t="s">
        <v>473</v>
      </c>
    </row>
    <row r="4" customFormat="false" ht="15" hidden="false" customHeight="false" outlineLevel="0" collapsed="false">
      <c r="A4" s="6" t="s">
        <v>474</v>
      </c>
      <c r="B4" s="6" t="s">
        <v>475</v>
      </c>
      <c r="C4" s="34" t="s">
        <v>476</v>
      </c>
    </row>
    <row r="5" customFormat="false" ht="15" hidden="false" customHeight="false" outlineLevel="0" collapsed="false">
      <c r="A5" s="6" t="s">
        <v>123</v>
      </c>
      <c r="B5" s="6" t="s">
        <v>477</v>
      </c>
      <c r="C5" s="34" t="s">
        <v>478</v>
      </c>
    </row>
    <row r="6" customFormat="false" ht="15" hidden="false" customHeight="false" outlineLevel="0" collapsed="false">
      <c r="A6" s="6" t="s">
        <v>145</v>
      </c>
      <c r="B6" s="6" t="s">
        <v>479</v>
      </c>
      <c r="C6" s="34" t="s">
        <v>480</v>
      </c>
    </row>
    <row r="7" customFormat="false" ht="15" hidden="false" customHeight="false" outlineLevel="0" collapsed="false">
      <c r="A7" s="6" t="s">
        <v>481</v>
      </c>
      <c r="B7" s="6" t="s">
        <v>482</v>
      </c>
      <c r="C7" s="34" t="s">
        <v>483</v>
      </c>
    </row>
    <row r="8" customFormat="false" ht="15" hidden="false" customHeight="false" outlineLevel="0" collapsed="false">
      <c r="A8" s="6" t="s">
        <v>484</v>
      </c>
      <c r="B8" s="6" t="s">
        <v>485</v>
      </c>
      <c r="C8" s="34" t="s">
        <v>486</v>
      </c>
    </row>
    <row r="9" customFormat="false" ht="15" hidden="false" customHeight="false" outlineLevel="0" collapsed="false">
      <c r="A9" s="6" t="s">
        <v>487</v>
      </c>
      <c r="B9" s="6" t="s">
        <v>488</v>
      </c>
      <c r="C9" s="34" t="s">
        <v>489</v>
      </c>
    </row>
    <row r="10" customFormat="false" ht="15" hidden="false" customHeight="false" outlineLevel="0" collapsed="false">
      <c r="A10" s="6" t="s">
        <v>199</v>
      </c>
      <c r="B10" s="6" t="s">
        <v>490</v>
      </c>
      <c r="C10" s="34" t="s">
        <v>491</v>
      </c>
    </row>
    <row r="11" customFormat="false" ht="15" hidden="false" customHeight="false" outlineLevel="0" collapsed="false">
      <c r="A11" s="6" t="s">
        <v>176</v>
      </c>
      <c r="B11" s="6" t="s">
        <v>492</v>
      </c>
      <c r="C11" s="34" t="s">
        <v>493</v>
      </c>
    </row>
    <row r="12" customFormat="false" ht="15" hidden="false" customHeight="false" outlineLevel="0" collapsed="false">
      <c r="A12" s="6" t="s">
        <v>183</v>
      </c>
      <c r="B12" s="6" t="s">
        <v>494</v>
      </c>
      <c r="C12" s="34" t="s">
        <v>495</v>
      </c>
    </row>
    <row r="13" customFormat="false" ht="15" hidden="false" customHeight="false" outlineLevel="0" collapsed="false">
      <c r="A13" s="6" t="s">
        <v>496</v>
      </c>
      <c r="B13" s="6" t="s">
        <v>497</v>
      </c>
      <c r="C13" s="34" t="s">
        <v>498</v>
      </c>
    </row>
    <row r="14" customFormat="false" ht="15" hidden="false" customHeight="false" outlineLevel="0" collapsed="false">
      <c r="A14" s="6" t="s">
        <v>230</v>
      </c>
      <c r="B14" s="6" t="s">
        <v>499</v>
      </c>
      <c r="C14" s="34" t="s">
        <v>500</v>
      </c>
    </row>
    <row r="15" customFormat="false" ht="15" hidden="false" customHeight="false" outlineLevel="0" collapsed="false">
      <c r="A15" s="6" t="s">
        <v>242</v>
      </c>
      <c r="B15" s="6" t="s">
        <v>501</v>
      </c>
      <c r="C15" s="34" t="s">
        <v>502</v>
      </c>
    </row>
    <row r="16" customFormat="false" ht="15" hidden="false" customHeight="false" outlineLevel="0" collapsed="false">
      <c r="A16" s="6" t="s">
        <v>268</v>
      </c>
      <c r="B16" s="6" t="s">
        <v>503</v>
      </c>
      <c r="C16" s="34" t="s">
        <v>504</v>
      </c>
    </row>
    <row r="17" customFormat="false" ht="15" hidden="false" customHeight="false" outlineLevel="0" collapsed="false">
      <c r="A17" s="6" t="s">
        <v>251</v>
      </c>
      <c r="B17" s="6" t="s">
        <v>505</v>
      </c>
      <c r="C17" s="34" t="s">
        <v>506</v>
      </c>
    </row>
    <row r="18" customFormat="false" ht="15" hidden="false" customHeight="false" outlineLevel="0" collapsed="false">
      <c r="A18" s="6" t="s">
        <v>261</v>
      </c>
      <c r="B18" s="6" t="s">
        <v>507</v>
      </c>
      <c r="C18" s="34" t="s">
        <v>508</v>
      </c>
    </row>
    <row r="19" customFormat="false" ht="15" hidden="false" customHeight="false" outlineLevel="0" collapsed="false">
      <c r="A19" s="6" t="s">
        <v>276</v>
      </c>
      <c r="B19" s="6" t="s">
        <v>509</v>
      </c>
      <c r="C19" s="34" t="s">
        <v>510</v>
      </c>
    </row>
    <row r="20" customFormat="false" ht="15" hidden="false" customHeight="false" outlineLevel="0" collapsed="false">
      <c r="A20" s="6" t="s">
        <v>511</v>
      </c>
      <c r="B20" s="6" t="s">
        <v>512</v>
      </c>
      <c r="C20" s="34" t="s">
        <v>513</v>
      </c>
    </row>
    <row r="21" customFormat="false" ht="15" hidden="false" customHeight="false" outlineLevel="0" collapsed="false">
      <c r="A21" s="6" t="s">
        <v>514</v>
      </c>
      <c r="B21" s="6" t="s">
        <v>515</v>
      </c>
      <c r="C21" s="34" t="s">
        <v>516</v>
      </c>
    </row>
    <row r="22" customFormat="false" ht="15" hidden="false" customHeight="false" outlineLevel="0" collapsed="false">
      <c r="A22" s="6" t="s">
        <v>517</v>
      </c>
      <c r="B22" s="6" t="s">
        <v>518</v>
      </c>
      <c r="C22" s="34" t="s">
        <v>519</v>
      </c>
    </row>
    <row r="23" customFormat="false" ht="15" hidden="false" customHeight="false" outlineLevel="0" collapsed="false">
      <c r="A23" s="6" t="s">
        <v>520</v>
      </c>
      <c r="B23" s="6" t="s">
        <v>521</v>
      </c>
      <c r="C23" s="34" t="s">
        <v>522</v>
      </c>
    </row>
    <row r="24" customFormat="false" ht="15" hidden="false" customHeight="false" outlineLevel="0" collapsed="false">
      <c r="A24" s="6" t="s">
        <v>523</v>
      </c>
      <c r="B24" s="6" t="s">
        <v>524</v>
      </c>
      <c r="C24" s="34" t="s">
        <v>525</v>
      </c>
    </row>
    <row r="25" customFormat="false" ht="15" hidden="false" customHeight="false" outlineLevel="0" collapsed="false">
      <c r="A25" s="6" t="s">
        <v>526</v>
      </c>
      <c r="B25" s="6" t="s">
        <v>527</v>
      </c>
      <c r="C25" s="34" t="s">
        <v>528</v>
      </c>
    </row>
    <row r="26" customFormat="false" ht="15" hidden="false" customHeight="false" outlineLevel="0" collapsed="false">
      <c r="A26" s="6" t="s">
        <v>529</v>
      </c>
      <c r="B26" s="6" t="s">
        <v>530</v>
      </c>
      <c r="C26" s="34" t="s">
        <v>531</v>
      </c>
    </row>
    <row r="27" customFormat="false" ht="15" hidden="false" customHeight="false" outlineLevel="0" collapsed="false">
      <c r="A27" s="6" t="s">
        <v>532</v>
      </c>
      <c r="B27" s="6" t="s">
        <v>533</v>
      </c>
      <c r="C27" s="34" t="s">
        <v>534</v>
      </c>
    </row>
    <row r="28" customFormat="false" ht="15" hidden="false" customHeight="false" outlineLevel="0" collapsed="false">
      <c r="A28" s="6" t="s">
        <v>535</v>
      </c>
      <c r="B28" s="6" t="s">
        <v>536</v>
      </c>
      <c r="C28" s="34" t="s">
        <v>537</v>
      </c>
    </row>
    <row r="29" customFormat="false" ht="15" hidden="false" customHeight="false" outlineLevel="0" collapsed="false">
      <c r="A29" s="6" t="s">
        <v>457</v>
      </c>
      <c r="B29" s="6" t="s">
        <v>538</v>
      </c>
      <c r="C29" s="34" t="s">
        <v>539</v>
      </c>
    </row>
    <row r="30" customFormat="false" ht="15" hidden="false" customHeight="false" outlineLevel="0" collapsed="false">
      <c r="A30" s="6" t="s">
        <v>540</v>
      </c>
      <c r="B30" s="6" t="s">
        <v>541</v>
      </c>
      <c r="C30" s="34" t="s">
        <v>542</v>
      </c>
    </row>
    <row r="31" customFormat="false" ht="15" hidden="false" customHeight="false" outlineLevel="0" collapsed="false">
      <c r="A31" s="6" t="s">
        <v>543</v>
      </c>
      <c r="B31" s="6" t="s">
        <v>544</v>
      </c>
      <c r="C31" s="34" t="s">
        <v>545</v>
      </c>
    </row>
    <row r="32" customFormat="false" ht="15" hidden="false" customHeight="false" outlineLevel="0" collapsed="false">
      <c r="A32" s="6" t="s">
        <v>546</v>
      </c>
      <c r="B32" s="6" t="s">
        <v>547</v>
      </c>
      <c r="C32" s="34" t="s">
        <v>548</v>
      </c>
    </row>
    <row r="33" customFormat="false" ht="15" hidden="false" customHeight="false" outlineLevel="0" collapsed="false">
      <c r="A33" s="6" t="s">
        <v>459</v>
      </c>
      <c r="B33" s="6" t="s">
        <v>549</v>
      </c>
      <c r="C33" s="34" t="s">
        <v>550</v>
      </c>
    </row>
    <row r="34" customFormat="false" ht="15" hidden="false" customHeight="false" outlineLevel="0" collapsed="false">
      <c r="A34" s="6" t="s">
        <v>440</v>
      </c>
      <c r="B34" s="6" t="s">
        <v>551</v>
      </c>
      <c r="C34" s="34" t="s">
        <v>552</v>
      </c>
    </row>
    <row r="35" customFormat="false" ht="15" hidden="false" customHeight="false" outlineLevel="0" collapsed="false">
      <c r="A35" s="6" t="s">
        <v>443</v>
      </c>
      <c r="B35" s="6" t="s">
        <v>553</v>
      </c>
      <c r="C35" s="34" t="s">
        <v>554</v>
      </c>
    </row>
    <row r="36" customFormat="false" ht="15" hidden="false" customHeight="false" outlineLevel="0" collapsed="false">
      <c r="A36" s="6" t="s">
        <v>431</v>
      </c>
      <c r="B36" s="6" t="s">
        <v>555</v>
      </c>
      <c r="C36" s="34" t="s">
        <v>556</v>
      </c>
    </row>
    <row r="37" customFormat="false" ht="15" hidden="false" customHeight="false" outlineLevel="0" collapsed="false">
      <c r="A37" s="6" t="s">
        <v>434</v>
      </c>
      <c r="B37" s="6" t="s">
        <v>557</v>
      </c>
      <c r="C37" s="34" t="s">
        <v>558</v>
      </c>
    </row>
    <row r="38" customFormat="false" ht="15" hidden="false" customHeight="false" outlineLevel="0" collapsed="false">
      <c r="A38" s="6" t="s">
        <v>451</v>
      </c>
      <c r="B38" s="6" t="s">
        <v>559</v>
      </c>
      <c r="C38" s="34" t="s">
        <v>560</v>
      </c>
    </row>
    <row r="39" customFormat="false" ht="15" hidden="false" customHeight="false" outlineLevel="0" collapsed="false">
      <c r="A39" s="6" t="s">
        <v>454</v>
      </c>
      <c r="B39" s="6" t="s">
        <v>561</v>
      </c>
      <c r="C39" s="34" t="s">
        <v>562</v>
      </c>
    </row>
    <row r="40" customFormat="false" ht="15" hidden="false" customHeight="false" outlineLevel="0" collapsed="false">
      <c r="A40" s="6" t="s">
        <v>467</v>
      </c>
      <c r="B40" s="6" t="s">
        <v>563</v>
      </c>
      <c r="C40" s="34" t="s">
        <v>564</v>
      </c>
    </row>
    <row r="41" customFormat="false" ht="15" hidden="false" customHeight="false" outlineLevel="0" collapsed="false">
      <c r="A41" s="6" t="s">
        <v>464</v>
      </c>
      <c r="B41" s="6" t="s">
        <v>565</v>
      </c>
      <c r="C41" s="34" t="s">
        <v>566</v>
      </c>
    </row>
    <row r="42" customFormat="false" ht="15" hidden="false" customHeight="false" outlineLevel="0" collapsed="false">
      <c r="A42" s="6" t="s">
        <v>470</v>
      </c>
      <c r="B42" s="6" t="s">
        <v>567</v>
      </c>
      <c r="C42" s="34" t="s">
        <v>568</v>
      </c>
    </row>
    <row r="43" customFormat="false" ht="15" hidden="false" customHeight="false" outlineLevel="0" collapsed="false">
      <c r="A43" s="6" t="s">
        <v>569</v>
      </c>
      <c r="B43" s="6" t="s">
        <v>570</v>
      </c>
      <c r="C43" s="34" t="s">
        <v>571</v>
      </c>
    </row>
    <row r="44" customFormat="false" ht="15" hidden="false" customHeight="false" outlineLevel="0" collapsed="false">
      <c r="A44" s="6" t="s">
        <v>447</v>
      </c>
      <c r="B44" s="6" t="s">
        <v>572</v>
      </c>
      <c r="C44" s="34" t="s">
        <v>573</v>
      </c>
    </row>
    <row r="45" customFormat="false" ht="15" hidden="false" customHeight="false" outlineLevel="0" collapsed="false">
      <c r="A45" s="6" t="s">
        <v>326</v>
      </c>
      <c r="B45" s="6" t="s">
        <v>574</v>
      </c>
      <c r="C45" s="34" t="s">
        <v>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576</v>
      </c>
    </row>
    <row r="3" customFormat="false" ht="42" hidden="false" customHeight="true" outlineLevel="0" collapsed="false">
      <c r="A3" s="12" t="s">
        <v>577</v>
      </c>
      <c r="B3" s="12" t="s">
        <v>578</v>
      </c>
      <c r="C3" s="12" t="s">
        <v>579</v>
      </c>
    </row>
    <row r="4" customFormat="false" ht="35.05" hidden="false" customHeight="false" outlineLevel="0" collapsed="false">
      <c r="A4" s="4" t="s">
        <v>580</v>
      </c>
      <c r="B4" s="6" t="s">
        <v>581</v>
      </c>
      <c r="C4" s="6" t="s">
        <v>582</v>
      </c>
    </row>
    <row r="5" customFormat="false" ht="23.85" hidden="false" customHeight="false" outlineLevel="0" collapsed="false">
      <c r="A5" s="4" t="s">
        <v>583</v>
      </c>
      <c r="B5" s="6" t="s">
        <v>584</v>
      </c>
      <c r="C5" s="6" t="s">
        <v>585</v>
      </c>
    </row>
    <row r="6" customFormat="false" ht="23.85" hidden="false" customHeight="false" outlineLevel="0" collapsed="false">
      <c r="A6" s="4" t="s">
        <v>586</v>
      </c>
      <c r="B6" s="6" t="s">
        <v>587</v>
      </c>
      <c r="C6" s="6" t="s">
        <v>585</v>
      </c>
    </row>
    <row r="7" customFormat="false" ht="23.85" hidden="false" customHeight="false" outlineLevel="0" collapsed="false">
      <c r="A7" s="4" t="s">
        <v>588</v>
      </c>
      <c r="B7" s="6" t="s">
        <v>589</v>
      </c>
      <c r="C7" s="6" t="s">
        <v>585</v>
      </c>
    </row>
    <row r="8" customFormat="false" ht="15" hidden="false" customHeight="false" outlineLevel="0" collapsed="false">
      <c r="A8" s="4" t="s">
        <v>590</v>
      </c>
      <c r="B8" s="6" t="s">
        <v>591</v>
      </c>
      <c r="C8" s="6" t="s">
        <v>582</v>
      </c>
    </row>
    <row r="9" customFormat="false" ht="23.85" hidden="false" customHeight="false" outlineLevel="0" collapsed="false">
      <c r="A9" s="4" t="s">
        <v>592</v>
      </c>
      <c r="B9" s="6" t="s">
        <v>593</v>
      </c>
      <c r="C9" s="6" t="s">
        <v>594</v>
      </c>
    </row>
    <row r="10" customFormat="false" ht="23.85" hidden="false" customHeight="false" outlineLevel="0" collapsed="false">
      <c r="A10" s="35" t="s">
        <v>595</v>
      </c>
      <c r="B10" s="14" t="s">
        <v>596</v>
      </c>
      <c r="C10" s="14" t="s">
        <v>597</v>
      </c>
    </row>
    <row r="11" customFormat="false" ht="15" hidden="false" customHeight="false" outlineLevel="0" collapsed="false">
      <c r="A11" s="4" t="s">
        <v>50</v>
      </c>
      <c r="B11" s="6" t="s">
        <v>598</v>
      </c>
      <c r="C11" s="6" t="s">
        <v>599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2026-10-26T11:55:58Z</dcterms:created>
  <dc:creator>openpyxl</dc:creator>
  <dc:description/>
  <dc:language>en-US</dc:language>
  <cp:lastModifiedBy/>
  <dcterms:modified xsi:type="dcterms:W3CDTF">2026-10-26T17:26:01Z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